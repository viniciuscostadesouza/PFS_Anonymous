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/>
  <xr:revisionPtr revIDLastSave="0" documentId="8_{1834A3D1-C13A-8D48-80A5-D4E20C4942ED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PFS" sheetId="1" r:id="rId1"/>
    <sheet name="Engagemmmment" sheetId="2" r:id="rId2"/>
    <sheet name="Interactive" sheetId="3" r:id="rId3"/>
    <sheet name="Sensorial" sheetId="4" r:id="rId4"/>
    <sheet name="Form Responses 1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51" i="1" s="1"/>
  <c r="E21" i="1"/>
  <c r="E22" i="1" s="1"/>
  <c r="E19" i="1"/>
  <c r="E16" i="1"/>
  <c r="E14" i="1"/>
  <c r="E12" i="1"/>
  <c r="E10" i="1"/>
  <c r="E8" i="1"/>
  <c r="E6" i="1"/>
  <c r="E4" i="1"/>
  <c r="E17" i="1" s="1"/>
  <c r="E53" i="1" l="1"/>
</calcChain>
</file>

<file path=xl/sharedStrings.xml><?xml version="1.0" encoding="utf-8"?>
<sst xmlns="http://schemas.openxmlformats.org/spreadsheetml/2006/main" count="249" uniqueCount="159">
  <si>
    <t>PRESENCE FACTORS SCALE (PFS)</t>
  </si>
  <si>
    <t>Category</t>
  </si>
  <si>
    <t>Factor</t>
  </si>
  <si>
    <t>Description</t>
  </si>
  <si>
    <t>Level</t>
  </si>
  <si>
    <t>Value</t>
  </si>
  <si>
    <t>Interactive Fidelity</t>
  </si>
  <si>
    <t>Engagement</t>
  </si>
  <si>
    <t>Sensorial Fidelity</t>
  </si>
  <si>
    <t>Manipulation</t>
  </si>
  <si>
    <t>The ability of the VE to be modified by user actions</t>
  </si>
  <si>
    <t>Invasiviness</t>
  </si>
  <si>
    <t xml:space="preserve">Inclusiveness </t>
  </si>
  <si>
    <t>Number of external
devices required</t>
  </si>
  <si>
    <t>Select</t>
  </si>
  <si>
    <t>The degree to which physical reality is excluded</t>
  </si>
  <si>
    <t>The degree to which physical reality is excluded.</t>
  </si>
  <si>
    <r>
      <rPr>
        <b/>
        <sz val="10"/>
        <color theme="1"/>
        <rFont val="Arial"/>
        <family val="2"/>
      </rPr>
      <t>High</t>
    </r>
    <r>
      <rPr>
        <sz val="10"/>
        <color theme="1"/>
        <rFont val="Arial"/>
        <family val="2"/>
      </rPr>
      <t xml:space="preserve"> - More than four devices arranged over the user</t>
    </r>
  </si>
  <si>
    <r>
      <rPr>
        <b/>
        <sz val="10"/>
        <color theme="1"/>
        <rFont val="Arial"/>
        <family val="2"/>
      </rPr>
      <t xml:space="preserve">None </t>
    </r>
    <r>
      <rPr>
        <sz val="10"/>
        <color theme="1"/>
        <rFont val="Arial"/>
        <family val="2"/>
      </rPr>
      <t>- Does not allow interaction</t>
    </r>
  </si>
  <si>
    <r>
      <rPr>
        <b/>
        <sz val="10"/>
        <color theme="1"/>
        <rFont val="Arial"/>
        <family val="2"/>
      </rPr>
      <t>Moderate</t>
    </r>
    <r>
      <rPr>
        <sz val="10"/>
        <color theme="1"/>
        <rFont val="Arial"/>
        <family val="2"/>
      </rPr>
      <t xml:space="preserve"> - Three or four devices arranged over the user</t>
    </r>
  </si>
  <si>
    <r>
      <rPr>
        <b/>
        <sz val="10"/>
        <color theme="1"/>
        <rFont val="Arial"/>
        <family val="2"/>
      </rPr>
      <t>Low Intuition</t>
    </r>
    <r>
      <rPr>
        <sz val="10"/>
        <color theme="1"/>
        <rFont val="Arial"/>
        <family val="2"/>
      </rPr>
      <t xml:space="preserve"> - Enables non-intuitive interaction</t>
    </r>
  </si>
  <si>
    <r>
      <rPr>
        <b/>
        <sz val="10"/>
        <color theme="1"/>
        <rFont val="Arial"/>
        <family val="2"/>
      </rPr>
      <t>Low</t>
    </r>
    <r>
      <rPr>
        <sz val="10"/>
        <color theme="1"/>
        <rFont val="Arial"/>
        <family val="2"/>
      </rPr>
      <t xml:space="preserve"> - Up to two devices arranged over the user</t>
    </r>
  </si>
  <si>
    <r>
      <rPr>
        <b/>
        <sz val="10"/>
        <color theme="1"/>
        <rFont val="Arial"/>
        <family val="2"/>
      </rPr>
      <t xml:space="preserve">Intuitive </t>
    </r>
    <r>
      <rPr>
        <sz val="10"/>
        <color theme="1"/>
        <rFont val="Arial"/>
        <family val="2"/>
      </rPr>
      <t>- Enables intuitive interaction</t>
    </r>
  </si>
  <si>
    <r>
      <rPr>
        <b/>
        <sz val="10"/>
        <color theme="1"/>
        <rFont val="Arial"/>
        <family val="2"/>
      </rPr>
      <t>None</t>
    </r>
    <r>
      <rPr>
        <sz val="10"/>
        <color theme="1"/>
        <rFont val="Arial"/>
        <family val="2"/>
      </rPr>
      <t xml:space="preserve"> - No devices against the user</t>
    </r>
  </si>
  <si>
    <r>
      <rPr>
        <b/>
        <sz val="10"/>
        <color theme="1"/>
        <rFont val="Arial"/>
        <family val="2"/>
      </rPr>
      <t>Very Intuitive</t>
    </r>
    <r>
      <rPr>
        <sz val="10"/>
        <color theme="1"/>
        <rFont val="Arial"/>
        <family val="2"/>
      </rPr>
      <t xml:space="preserve"> - Enables very intuitive interaction</t>
    </r>
  </si>
  <si>
    <r>
      <rPr>
        <b/>
        <sz val="10"/>
        <color theme="1"/>
        <rFont val="Arial"/>
        <family val="2"/>
      </rPr>
      <t xml:space="preserve">None </t>
    </r>
    <r>
      <rPr>
        <sz val="10"/>
        <color theme="1"/>
        <rFont val="Arial"/>
        <family val="2"/>
      </rPr>
      <t>- Interference from the physical environment occurs throughout the entire virtual experience</t>
    </r>
  </si>
  <si>
    <r>
      <rPr>
        <b/>
        <sz val="10"/>
        <color theme="1"/>
        <rFont val="Arial"/>
        <family val="2"/>
      </rPr>
      <t xml:space="preserve">Partially </t>
    </r>
    <r>
      <rPr>
        <sz val="10"/>
        <color theme="1"/>
        <rFont val="Arial"/>
        <family val="2"/>
      </rPr>
      <t>- Interference from the physical environment occurs at some moments</t>
    </r>
  </si>
  <si>
    <t>Travel</t>
  </si>
  <si>
    <t>Proprioception</t>
  </si>
  <si>
    <t>The way to navigate in the virtual environment</t>
  </si>
  <si>
    <r>
      <rPr>
        <b/>
        <sz val="10"/>
        <color theme="1"/>
        <rFont val="Arial"/>
        <family val="2"/>
      </rPr>
      <t xml:space="preserve">Totally </t>
    </r>
    <r>
      <rPr>
        <sz val="10"/>
        <color theme="1"/>
        <rFont val="Arial"/>
        <family val="2"/>
      </rPr>
      <t>- There is no interference from the physical environment</t>
    </r>
  </si>
  <si>
    <t>Sense of self-movement and body position</t>
  </si>
  <si>
    <r>
      <rPr>
        <b/>
        <sz val="10"/>
        <color theme="1"/>
        <rFont val="Arial"/>
        <family val="2"/>
      </rPr>
      <t>Absent</t>
    </r>
    <r>
      <rPr>
        <sz val="10"/>
        <color theme="1"/>
        <rFont val="Arial"/>
        <family val="2"/>
      </rPr>
      <t xml:space="preserve"> - Proprioceptive feedback not provided</t>
    </r>
  </si>
  <si>
    <r>
      <rPr>
        <b/>
        <sz val="10"/>
        <color theme="1"/>
        <rFont val="Arial"/>
        <family val="2"/>
      </rPr>
      <t xml:space="preserve">None </t>
    </r>
    <r>
      <rPr>
        <sz val="10"/>
        <color theme="1"/>
        <rFont val="Arial"/>
        <family val="2"/>
      </rPr>
      <t>- The VE does not allow navigation</t>
    </r>
  </si>
  <si>
    <r>
      <rPr>
        <b/>
        <sz val="10"/>
        <color theme="1"/>
        <rFont val="Arial"/>
        <family val="2"/>
      </rPr>
      <t>Little</t>
    </r>
    <r>
      <rPr>
        <sz val="10"/>
        <color theme="1"/>
        <rFont val="Arial"/>
        <family val="2"/>
      </rPr>
      <t xml:space="preserve"> - Proprioceptive  feedback poorly provided</t>
    </r>
  </si>
  <si>
    <r>
      <rPr>
        <b/>
        <sz val="10"/>
        <color theme="1"/>
        <rFont val="Arial"/>
        <family val="2"/>
      </rPr>
      <t xml:space="preserve">Low Intuitiion </t>
    </r>
    <r>
      <rPr>
        <sz val="10"/>
        <color theme="1"/>
        <rFont val="Arial"/>
        <family val="2"/>
      </rPr>
      <t>- The way to navigate in the VE is not very intuitive (e.g. teleportation)</t>
    </r>
  </si>
  <si>
    <r>
      <rPr>
        <b/>
        <sz val="10"/>
        <color theme="1"/>
        <rFont val="Arial"/>
        <family val="2"/>
      </rPr>
      <t xml:space="preserve">Intuitive </t>
    </r>
    <r>
      <rPr>
        <sz val="10"/>
        <color theme="1"/>
        <rFont val="Arial"/>
        <family val="2"/>
      </rPr>
      <t>- The way to navigate in the VE is intuitive (e.g. joystick, fly, walk in place)</t>
    </r>
  </si>
  <si>
    <r>
      <rPr>
        <b/>
        <sz val="10"/>
        <color theme="1"/>
        <rFont val="Arial"/>
        <family val="2"/>
      </rPr>
      <t xml:space="preserve">Very Intuitive </t>
    </r>
    <r>
      <rPr>
        <sz val="10"/>
        <color theme="1"/>
        <rFont val="Arial"/>
        <family val="2"/>
      </rPr>
      <t>- The way to navigate in the VE is very intuitive (e.g. vehicle, real walk)</t>
    </r>
  </si>
  <si>
    <t xml:space="preserve">Narrative </t>
  </si>
  <si>
    <r>
      <rPr>
        <b/>
        <sz val="10"/>
        <color theme="1"/>
        <rFont val="Arial"/>
        <family val="2"/>
      </rPr>
      <t>Medim</t>
    </r>
    <r>
      <rPr>
        <sz val="10"/>
        <color theme="1"/>
        <rFont val="Arial"/>
        <family val="2"/>
      </rPr>
      <t xml:space="preserve"> - Average proprioceptive feedback</t>
    </r>
  </si>
  <si>
    <t>* scale from 1 to 7, with 7 meaning that it contributes the most for eliciting a strong feeling of presence.</t>
  </si>
  <si>
    <r>
      <rPr>
        <b/>
        <sz val="10"/>
        <color theme="1"/>
        <rFont val="Arial"/>
        <family val="2"/>
      </rPr>
      <t>Total</t>
    </r>
    <r>
      <rPr>
        <sz val="10"/>
        <color theme="1"/>
        <rFont val="Arial"/>
        <family val="2"/>
      </rPr>
      <t xml:space="preserve"> - Proprioceptive  feedback very provided</t>
    </r>
  </si>
  <si>
    <t>The story designed to be experienced virtually by the user</t>
  </si>
  <si>
    <t>The history designed to be virtually experienced by the user</t>
  </si>
  <si>
    <t>Body Ownership</t>
  </si>
  <si>
    <t>Sense of body ownership in the VE</t>
  </si>
  <si>
    <r>
      <rPr>
        <b/>
        <sz val="10"/>
        <color theme="1"/>
        <rFont val="Arial"/>
        <family val="2"/>
      </rPr>
      <t xml:space="preserve">Incomplete </t>
    </r>
    <r>
      <rPr>
        <sz val="10"/>
        <color theme="1"/>
        <rFont val="Arial"/>
        <family val="2"/>
      </rPr>
      <t>- It does not present all elements of the narrative (fact, time, place, characters, cause, mode and consequence)</t>
    </r>
  </si>
  <si>
    <r>
      <rPr>
        <b/>
        <sz val="10"/>
        <color theme="1"/>
        <rFont val="Arial"/>
        <family val="2"/>
      </rPr>
      <t>Absent</t>
    </r>
    <r>
      <rPr>
        <sz val="10"/>
        <color theme="1"/>
        <rFont val="Arial"/>
        <family val="2"/>
      </rPr>
      <t xml:space="preserve"> - Does not provide the sense of body ownership</t>
    </r>
  </si>
  <si>
    <r>
      <rPr>
        <b/>
        <sz val="10"/>
        <color theme="1"/>
        <rFont val="Arial"/>
        <family val="2"/>
      </rPr>
      <t>Partial</t>
    </r>
    <r>
      <rPr>
        <sz val="10"/>
        <color theme="1"/>
        <rFont val="Arial"/>
        <family val="2"/>
      </rPr>
      <t xml:space="preserve"> - Provides partial sense of body ownership</t>
    </r>
  </si>
  <si>
    <r>
      <rPr>
        <b/>
        <sz val="10"/>
        <color theme="1"/>
        <rFont val="Arial"/>
        <family val="2"/>
      </rPr>
      <t>Total</t>
    </r>
    <r>
      <rPr>
        <sz val="10"/>
        <color theme="1"/>
        <rFont val="Arial"/>
        <family val="2"/>
      </rPr>
      <t xml:space="preserve"> - Provides total sense of body ownership</t>
    </r>
  </si>
  <si>
    <r>
      <rPr>
        <b/>
        <sz val="10"/>
        <color theme="1"/>
        <rFont val="Arial"/>
        <family val="2"/>
      </rPr>
      <t xml:space="preserve">Complete </t>
    </r>
    <r>
      <rPr>
        <sz val="10"/>
        <color theme="1"/>
        <rFont val="Arial"/>
        <family val="2"/>
      </rPr>
      <t>- Presents all elements of the narrative (fact, time, place, characters, cause, mode and consequence)</t>
    </r>
  </si>
  <si>
    <t>Latency</t>
  </si>
  <si>
    <t>Delay between user action and the reaction of the virtual environment.</t>
  </si>
  <si>
    <r>
      <rPr>
        <b/>
        <sz val="10"/>
        <color theme="1"/>
        <rFont val="Arial"/>
        <family val="2"/>
      </rPr>
      <t xml:space="preserve">Engaging </t>
    </r>
    <r>
      <rPr>
        <sz val="10"/>
        <color theme="1"/>
        <rFont val="Arial"/>
        <family val="2"/>
      </rPr>
      <t>- It has all the elements and includes at least one challenge, suspense, or surprising fact</t>
    </r>
  </si>
  <si>
    <r>
      <rPr>
        <b/>
        <sz val="10"/>
        <color theme="1"/>
        <rFont val="Arial"/>
        <family val="2"/>
      </rPr>
      <t xml:space="preserve">Above 20 ms </t>
    </r>
    <r>
      <rPr>
        <sz val="10"/>
        <color theme="1"/>
        <rFont val="Arial"/>
        <family val="2"/>
      </rPr>
      <t>- Greater than 20 ms</t>
    </r>
  </si>
  <si>
    <t>Attention</t>
  </si>
  <si>
    <r>
      <rPr>
        <b/>
        <sz val="10"/>
        <color theme="1"/>
        <rFont val="Arial"/>
        <family val="2"/>
      </rPr>
      <t xml:space="preserve">10 - 20 ms </t>
    </r>
    <r>
      <rPr>
        <sz val="10"/>
        <color theme="1"/>
        <rFont val="Arial"/>
        <family val="2"/>
      </rPr>
      <t>- Between 10 and 20 ms</t>
    </r>
  </si>
  <si>
    <t>The degree to which the virtual environment retains the user's attention.</t>
  </si>
  <si>
    <r>
      <rPr>
        <b/>
        <sz val="10"/>
        <color theme="1"/>
        <rFont val="Arial"/>
        <family val="2"/>
      </rPr>
      <t>0 - 10 ms</t>
    </r>
    <r>
      <rPr>
        <sz val="10"/>
        <color theme="1"/>
        <rFont val="Arial"/>
        <family val="2"/>
      </rPr>
      <t xml:space="preserve"> - Up to 10 ms</t>
    </r>
  </si>
  <si>
    <t>Transition</t>
  </si>
  <si>
    <r>
      <rPr>
        <b/>
        <sz val="10"/>
        <color theme="1"/>
        <rFont val="Arial"/>
        <family val="2"/>
      </rPr>
      <t xml:space="preserve">Alternating </t>
    </r>
    <r>
      <rPr>
        <sz val="10"/>
        <color theme="1"/>
        <rFont val="Arial"/>
        <family val="2"/>
      </rPr>
      <t>- Allows the user to switch attention to activities outside the experience</t>
    </r>
  </si>
  <si>
    <t>The degree to which the virtual environment retains the user's attention</t>
  </si>
  <si>
    <t>Change of state between the real and virtual world</t>
  </si>
  <si>
    <r>
      <rPr>
        <b/>
        <sz val="10"/>
        <color theme="1"/>
        <rFont val="Arial"/>
        <family val="2"/>
      </rPr>
      <t xml:space="preserve">Selective </t>
    </r>
    <r>
      <rPr>
        <sz val="10"/>
        <color theme="1"/>
        <rFont val="Arial"/>
        <family val="2"/>
      </rPr>
      <t>- Allows the user to switch attention, but, due to its attractiveness, maintains focus</t>
    </r>
  </si>
  <si>
    <r>
      <rPr>
        <b/>
        <sz val="10"/>
        <color theme="1"/>
        <rFont val="Arial"/>
        <family val="2"/>
      </rPr>
      <t>Instantaneous</t>
    </r>
    <r>
      <rPr>
        <sz val="10"/>
        <color theme="1"/>
        <rFont val="Arial"/>
        <family val="2"/>
      </rPr>
      <t xml:space="preserve"> - Abrupt transition between real and virtual worlds</t>
    </r>
  </si>
  <si>
    <r>
      <rPr>
        <b/>
        <sz val="10"/>
        <color theme="1"/>
        <rFont val="Arial"/>
        <family val="2"/>
      </rPr>
      <t>Gradual</t>
    </r>
    <r>
      <rPr>
        <sz val="10"/>
        <color theme="1"/>
        <rFont val="Arial"/>
        <family val="2"/>
      </rPr>
      <t xml:space="preserve"> - Gradual transition between real and virtual worlds</t>
    </r>
  </si>
  <si>
    <r>
      <rPr>
        <b/>
        <sz val="10"/>
        <color theme="1"/>
        <rFont val="Arial"/>
        <family val="2"/>
      </rPr>
      <t xml:space="preserve">Concentrated </t>
    </r>
    <r>
      <rPr>
        <sz val="10"/>
        <color theme="1"/>
        <rFont val="Arial"/>
        <family val="2"/>
      </rPr>
      <t>- Requires total and exclusive concentration from the user</t>
    </r>
  </si>
  <si>
    <t>Synchronization</t>
  </si>
  <si>
    <r>
      <rPr>
        <b/>
        <sz val="10"/>
        <color theme="1"/>
        <rFont val="Arial"/>
        <family val="2"/>
      </rPr>
      <t xml:space="preserve">Sustained </t>
    </r>
    <r>
      <rPr>
        <sz val="10"/>
        <color theme="1"/>
        <rFont val="Arial"/>
        <family val="2"/>
      </rPr>
      <t>- Requires the user's attention for an extended period without distractions</t>
    </r>
  </si>
  <si>
    <t>Coordination between user actions and all VE outputs</t>
  </si>
  <si>
    <r>
      <rPr>
        <b/>
        <sz val="10"/>
        <color theme="1"/>
        <rFont val="Arial"/>
        <family val="2"/>
      </rPr>
      <t>Asynchronous</t>
    </r>
    <r>
      <rPr>
        <sz val="10"/>
        <color theme="1"/>
        <rFont val="Arial"/>
        <family val="2"/>
      </rPr>
      <t xml:space="preserve"> - Does not present adequate visual, sound and interactional synchronization</t>
    </r>
  </si>
  <si>
    <t>Emotion</t>
  </si>
  <si>
    <r>
      <rPr>
        <b/>
        <sz val="10"/>
        <color theme="1"/>
        <rFont val="Arial"/>
        <family val="2"/>
      </rPr>
      <t>Synchronous</t>
    </r>
    <r>
      <rPr>
        <sz val="10"/>
        <color theme="1"/>
        <rFont val="Arial"/>
        <family val="2"/>
      </rPr>
      <t xml:space="preserve"> - Shows synchronization between all stimuli</t>
    </r>
  </si>
  <si>
    <t>The emotions (Anger, Sadness, Happiness, Disgust, 
Surprise, Fear) experienced by the user in the VE</t>
  </si>
  <si>
    <t>Plausibility</t>
  </si>
  <si>
    <t>The extent to which VE is considered acceptable or admissible</t>
  </si>
  <si>
    <r>
      <rPr>
        <b/>
        <sz val="10"/>
        <color theme="1"/>
        <rFont val="Arial"/>
        <family val="2"/>
      </rPr>
      <t>Inplausible</t>
    </r>
    <r>
      <rPr>
        <sz val="10"/>
        <color theme="1"/>
        <rFont val="Arial"/>
        <family val="2"/>
      </rPr>
      <t xml:space="preserve"> - Inacceptable, inadmissible</t>
    </r>
  </si>
  <si>
    <r>
      <rPr>
        <b/>
        <sz val="10"/>
        <color theme="1"/>
        <rFont val="Arial"/>
        <family val="2"/>
      </rPr>
      <t xml:space="preserve">None - </t>
    </r>
    <r>
      <rPr>
        <sz val="10"/>
        <color theme="1"/>
        <rFont val="Arial"/>
        <family val="2"/>
      </rPr>
      <t>The VE does not cause emotions in the user</t>
    </r>
  </si>
  <si>
    <t>The emotions (Anger, Sadness, Happiness, Disgust, 
Surprise, Fear) experienced by the user in the virtual environment</t>
  </si>
  <si>
    <r>
      <rPr>
        <b/>
        <sz val="10"/>
        <color theme="1"/>
        <rFont val="Arial"/>
        <family val="2"/>
      </rPr>
      <t>Plausible</t>
    </r>
    <r>
      <rPr>
        <sz val="10"/>
        <color theme="1"/>
        <rFont val="Arial"/>
        <family val="2"/>
      </rPr>
      <t xml:space="preserve"> - Acceptable, admissible</t>
    </r>
  </si>
  <si>
    <r>
      <rPr>
        <b/>
        <sz val="10"/>
        <color theme="1"/>
        <rFont val="Arial"/>
        <family val="2"/>
      </rPr>
      <t>Weak -</t>
    </r>
    <r>
      <rPr>
        <sz val="10"/>
        <color theme="1"/>
        <rFont val="Arial"/>
        <family val="2"/>
      </rPr>
      <t xml:space="preserve"> Contemplates situations that cause week emotion in the user</t>
    </r>
  </si>
  <si>
    <t>Visual Realism</t>
  </si>
  <si>
    <r>
      <rPr>
        <b/>
        <sz val="10"/>
        <color theme="1"/>
        <rFont val="Arial"/>
        <family val="2"/>
      </rPr>
      <t xml:space="preserve">Medium - </t>
    </r>
    <r>
      <rPr>
        <sz val="10"/>
        <color theme="1"/>
        <rFont val="Arial"/>
        <family val="2"/>
      </rPr>
      <t>Contemplates situations that cause medium emotion in the user</t>
    </r>
  </si>
  <si>
    <t>To what extent the VE looks visually real</t>
  </si>
  <si>
    <r>
      <rPr>
        <b/>
        <sz val="10"/>
        <color theme="1"/>
        <rFont val="Arial"/>
        <family val="2"/>
      </rPr>
      <t xml:space="preserve">Strong - </t>
    </r>
    <r>
      <rPr>
        <sz val="10"/>
        <color theme="1"/>
        <rFont val="Arial"/>
        <family val="2"/>
      </rPr>
      <t>Contemplates situations that cause strong emotion in the user</t>
    </r>
  </si>
  <si>
    <r>
      <rPr>
        <b/>
        <sz val="10"/>
        <color theme="1"/>
        <rFont val="Arial"/>
        <family val="2"/>
      </rPr>
      <t>None</t>
    </r>
    <r>
      <rPr>
        <sz val="10"/>
        <color theme="1"/>
        <rFont val="Arial"/>
        <family val="2"/>
      </rPr>
      <t xml:space="preserve"> - Does not provide geometric and lighting realism to objects.</t>
    </r>
  </si>
  <si>
    <r>
      <rPr>
        <b/>
        <sz val="10"/>
        <color theme="1"/>
        <rFont val="Arial"/>
        <family val="2"/>
      </rPr>
      <t>Static</t>
    </r>
    <r>
      <rPr>
        <sz val="10"/>
        <color theme="1"/>
        <rFont val="Arial"/>
        <family val="2"/>
      </rPr>
      <t xml:space="preserve"> - Provides realism to objects when stationary</t>
    </r>
  </si>
  <si>
    <r>
      <rPr>
        <b/>
        <sz val="10"/>
        <color theme="1"/>
        <rFont val="Arial"/>
        <family val="2"/>
      </rPr>
      <t>Dinamic</t>
    </r>
    <r>
      <rPr>
        <sz val="10"/>
        <color theme="1"/>
        <rFont val="Arial"/>
        <family val="2"/>
      </rPr>
      <t xml:space="preserve"> - Provides realism to objects even when in motion or altered</t>
    </r>
  </si>
  <si>
    <t>Task</t>
  </si>
  <si>
    <t>Field of view</t>
  </si>
  <si>
    <t>The act of doing something in the VE</t>
  </si>
  <si>
    <t>The extent of observable virtual world at any given moment</t>
  </si>
  <si>
    <r>
      <rPr>
        <b/>
        <sz val="10"/>
        <color theme="1"/>
        <rFont val="Arial"/>
        <family val="2"/>
      </rPr>
      <t>Up to 100º</t>
    </r>
    <r>
      <rPr>
        <sz val="10"/>
        <color theme="1"/>
        <rFont val="Arial"/>
        <family val="2"/>
      </rPr>
      <t xml:space="preserve"> - Field of view up to 100º</t>
    </r>
  </si>
  <si>
    <t>3,0</t>
  </si>
  <si>
    <t>The act of doing something in the virtual environment</t>
  </si>
  <si>
    <r>
      <rPr>
        <b/>
        <sz val="10"/>
        <color theme="1"/>
        <rFont val="Arial"/>
        <family val="2"/>
      </rPr>
      <t xml:space="preserve">None - </t>
    </r>
    <r>
      <rPr>
        <sz val="10"/>
        <color theme="1"/>
        <rFont val="Arial"/>
        <family val="2"/>
      </rPr>
      <t>Requires no tasks beyond visualization</t>
    </r>
  </si>
  <si>
    <r>
      <rPr>
        <b/>
        <sz val="10"/>
        <color theme="1"/>
        <rFont val="Arial"/>
        <family val="2"/>
      </rPr>
      <t>Up to 130º</t>
    </r>
    <r>
      <rPr>
        <sz val="10"/>
        <color theme="1"/>
        <rFont val="Arial"/>
        <family val="2"/>
      </rPr>
      <t xml:space="preserve"> - Field of view up to 130º</t>
    </r>
  </si>
  <si>
    <r>
      <rPr>
        <b/>
        <sz val="10"/>
        <color theme="1"/>
        <rFont val="Arial"/>
        <family val="2"/>
      </rPr>
      <t xml:space="preserve">Simple - </t>
    </r>
    <r>
      <rPr>
        <sz val="10"/>
        <color theme="1"/>
        <rFont val="Arial"/>
        <family val="2"/>
      </rPr>
      <t>Requires the execution of simple tasks</t>
    </r>
  </si>
  <si>
    <r>
      <rPr>
        <b/>
        <sz val="10"/>
        <color theme="1"/>
        <rFont val="Arial"/>
        <family val="2"/>
      </rPr>
      <t>Up to 180º</t>
    </r>
    <r>
      <rPr>
        <sz val="10"/>
        <color theme="1"/>
        <rFont val="Arial"/>
        <family val="2"/>
      </rPr>
      <t xml:space="preserve"> - Field of view up to 180º</t>
    </r>
  </si>
  <si>
    <t>Resolution</t>
  </si>
  <si>
    <r>
      <rPr>
        <b/>
        <sz val="10"/>
        <color theme="1"/>
        <rFont val="Arial"/>
        <family val="2"/>
      </rPr>
      <t xml:space="preserve">Medium - </t>
    </r>
    <r>
      <rPr>
        <sz val="10"/>
        <color theme="1"/>
        <rFont val="Arial"/>
        <family val="2"/>
      </rPr>
      <t>Requires the execution of medium complexity tasks</t>
    </r>
  </si>
  <si>
    <t>Number of individual dots that can be placed in a 1 inch line</t>
  </si>
  <si>
    <r>
      <rPr>
        <b/>
        <sz val="10"/>
        <color theme="1"/>
        <rFont val="Arial"/>
        <family val="2"/>
      </rPr>
      <t xml:space="preserve">Complex - </t>
    </r>
    <r>
      <rPr>
        <sz val="10"/>
        <color theme="1"/>
        <rFont val="Arial"/>
        <family val="2"/>
      </rPr>
      <t>Requires the execution of complex tasks</t>
    </r>
  </si>
  <si>
    <r>
      <rPr>
        <b/>
        <sz val="10"/>
        <color theme="1"/>
        <rFont val="Arial"/>
        <family val="2"/>
      </rPr>
      <t>LDPI</t>
    </r>
    <r>
      <rPr>
        <sz val="10"/>
        <color theme="1"/>
        <rFont val="Arial"/>
        <family val="2"/>
      </rPr>
      <t xml:space="preserve"> - Low density, 120 dots per inch</t>
    </r>
  </si>
  <si>
    <r>
      <rPr>
        <b/>
        <sz val="10"/>
        <color theme="1"/>
        <rFont val="Arial"/>
        <family val="2"/>
      </rPr>
      <t>MDPI</t>
    </r>
    <r>
      <rPr>
        <sz val="10"/>
        <color theme="1"/>
        <rFont val="Arial"/>
        <family val="2"/>
      </rPr>
      <t xml:space="preserve"> - Medium density, 120–160 dots per inch</t>
    </r>
  </si>
  <si>
    <t>Copresence</t>
  </si>
  <si>
    <r>
      <rPr>
        <b/>
        <sz val="10"/>
        <color theme="1"/>
        <rFont val="Arial"/>
        <family val="2"/>
      </rPr>
      <t>TVDPI</t>
    </r>
    <r>
      <rPr>
        <sz val="10"/>
        <color theme="1"/>
        <rFont val="Arial"/>
        <family val="2"/>
      </rPr>
      <t xml:space="preserve"> - Medium high density, 160–213 dots per inch</t>
    </r>
  </si>
  <si>
    <t>The feeling of being with another in a virtual environment</t>
  </si>
  <si>
    <r>
      <rPr>
        <b/>
        <sz val="10"/>
        <color theme="1"/>
        <rFont val="Arial"/>
        <family val="2"/>
      </rPr>
      <t>HDPI</t>
    </r>
    <r>
      <rPr>
        <sz val="10"/>
        <color theme="1"/>
        <rFont val="Arial"/>
        <family val="2"/>
      </rPr>
      <t xml:space="preserve"> - High density, 213–240 dots per inch</t>
    </r>
  </si>
  <si>
    <t>The feeling of being with another in the virtual environment</t>
  </si>
  <si>
    <r>
      <rPr>
        <b/>
        <sz val="10"/>
        <color theme="1"/>
        <rFont val="Arial"/>
        <family val="2"/>
      </rPr>
      <t>XHDPI</t>
    </r>
    <r>
      <rPr>
        <sz val="10"/>
        <color theme="1"/>
        <rFont val="Arial"/>
        <family val="2"/>
      </rPr>
      <t xml:space="preserve"> - Extra high density,  240–320 dots per inch</t>
    </r>
  </si>
  <si>
    <r>
      <rPr>
        <b/>
        <sz val="10"/>
        <color theme="1"/>
        <rFont val="Arial"/>
        <family val="2"/>
      </rPr>
      <t xml:space="preserve">None - </t>
    </r>
    <r>
      <rPr>
        <sz val="10"/>
        <color theme="1"/>
        <rFont val="Arial"/>
        <family val="2"/>
      </rPr>
      <t>There are no other actors in the VE</t>
    </r>
  </si>
  <si>
    <r>
      <rPr>
        <b/>
        <sz val="10"/>
        <color theme="1"/>
        <rFont val="Arial"/>
        <family val="2"/>
      </rPr>
      <t>XXHDPI</t>
    </r>
    <r>
      <rPr>
        <sz val="10"/>
        <color theme="1"/>
        <rFont val="Arial"/>
        <family val="2"/>
      </rPr>
      <t xml:space="preserve"> - Extra extra high density,  320–480 dots per inch</t>
    </r>
  </si>
  <si>
    <r>
      <rPr>
        <b/>
        <sz val="10"/>
        <color theme="1"/>
        <rFont val="Arial"/>
        <family val="2"/>
      </rPr>
      <t>XXXHDPI</t>
    </r>
    <r>
      <rPr>
        <sz val="10"/>
        <color theme="1"/>
        <rFont val="Arial"/>
        <family val="2"/>
      </rPr>
      <t xml:space="preserve"> - Extra extra extra high density,  480–640 dots per inch</t>
    </r>
  </si>
  <si>
    <r>
      <rPr>
        <b/>
        <sz val="10"/>
        <color theme="1"/>
        <rFont val="Arial"/>
        <family val="2"/>
      </rPr>
      <t xml:space="preserve">Partial - </t>
    </r>
    <r>
      <rPr>
        <sz val="10"/>
        <color theme="1"/>
        <rFont val="Arial"/>
        <family val="2"/>
      </rPr>
      <t>There are other actors at some points in the experience</t>
    </r>
  </si>
  <si>
    <t>Frame rate</t>
  </si>
  <si>
    <r>
      <rPr>
        <b/>
        <sz val="10"/>
        <color theme="1"/>
        <rFont val="Arial"/>
        <family val="2"/>
      </rPr>
      <t xml:space="preserve">Total - </t>
    </r>
    <r>
      <rPr>
        <sz val="10"/>
        <color theme="1"/>
        <rFont val="Arial"/>
        <family val="2"/>
      </rPr>
      <t>There are other actors throughout the entire experience</t>
    </r>
  </si>
  <si>
    <t>Number of unique images shown per second</t>
  </si>
  <si>
    <r>
      <rPr>
        <b/>
        <sz val="10"/>
        <color theme="1"/>
        <rFont val="Arial"/>
        <family val="2"/>
      </rPr>
      <t xml:space="preserve">Up to 60 </t>
    </r>
    <r>
      <rPr>
        <sz val="10"/>
        <color theme="1"/>
        <rFont val="Arial"/>
        <family val="2"/>
      </rPr>
      <t>- Up to 60 frames per second</t>
    </r>
  </si>
  <si>
    <t>Social presence</t>
  </si>
  <si>
    <r>
      <rPr>
        <b/>
        <sz val="10"/>
        <color theme="1"/>
        <rFont val="Arial"/>
        <family val="2"/>
      </rPr>
      <t>60 - 90</t>
    </r>
    <r>
      <rPr>
        <sz val="10"/>
        <color theme="1"/>
        <rFont val="Arial"/>
        <family val="2"/>
      </rPr>
      <t xml:space="preserve"> - Between 60 and 90 frames per second</t>
    </r>
  </si>
  <si>
    <t>The act of interacting with another in the virtual environment</t>
  </si>
  <si>
    <r>
      <rPr>
        <b/>
        <sz val="10"/>
        <color theme="1"/>
        <rFont val="Arial"/>
        <family val="2"/>
      </rPr>
      <t>Greater than 90</t>
    </r>
    <r>
      <rPr>
        <sz val="10"/>
        <color theme="1"/>
        <rFont val="Arial"/>
        <family val="2"/>
      </rPr>
      <t xml:space="preserve"> - Over 90 frames per second</t>
    </r>
  </si>
  <si>
    <t>Audio</t>
  </si>
  <si>
    <t>The way sound travels through the user’s head</t>
  </si>
  <si>
    <r>
      <rPr>
        <b/>
        <sz val="10"/>
        <color theme="1"/>
        <rFont val="Arial"/>
        <family val="2"/>
      </rPr>
      <t xml:space="preserve">None - </t>
    </r>
    <r>
      <rPr>
        <sz val="10"/>
        <color theme="1"/>
        <rFont val="Arial"/>
        <family val="2"/>
      </rPr>
      <t>There is no interaction with other actors in VE</t>
    </r>
  </si>
  <si>
    <r>
      <rPr>
        <b/>
        <sz val="10"/>
        <color theme="1"/>
        <rFont val="Arial"/>
        <family val="2"/>
      </rPr>
      <t xml:space="preserve">Low - </t>
    </r>
    <r>
      <rPr>
        <sz val="10"/>
        <color theme="1"/>
        <rFont val="Arial"/>
        <family val="2"/>
      </rPr>
      <t>There is little interaction with other actors in VE</t>
    </r>
  </si>
  <si>
    <r>
      <rPr>
        <b/>
        <sz val="10"/>
        <color theme="1"/>
        <rFont val="Arial"/>
        <family val="2"/>
      </rPr>
      <t xml:space="preserve">Moderate - </t>
    </r>
    <r>
      <rPr>
        <sz val="10"/>
        <color theme="1"/>
        <rFont val="Arial"/>
        <family val="2"/>
      </rPr>
      <t>There is medium interaction with other actors in VE</t>
    </r>
  </si>
  <si>
    <r>
      <rPr>
        <b/>
        <sz val="10"/>
        <color theme="1"/>
        <rFont val="Arial"/>
        <family val="2"/>
      </rPr>
      <t>Mono</t>
    </r>
    <r>
      <rPr>
        <sz val="10"/>
        <color theme="1"/>
        <rFont val="Arial"/>
        <family val="2"/>
      </rPr>
      <t xml:space="preserve"> - Sound captured and reproduced by a single channel</t>
    </r>
  </si>
  <si>
    <r>
      <rPr>
        <b/>
        <sz val="10"/>
        <color theme="1"/>
        <rFont val="Arial"/>
        <family val="2"/>
      </rPr>
      <t xml:space="preserve">High - </t>
    </r>
    <r>
      <rPr>
        <sz val="10"/>
        <color theme="1"/>
        <rFont val="Arial"/>
        <family val="2"/>
      </rPr>
      <t>There is a lot of interaction with other actors in VE</t>
    </r>
  </si>
  <si>
    <r>
      <rPr>
        <b/>
        <sz val="10"/>
        <color theme="1"/>
        <rFont val="Arial"/>
        <family val="2"/>
      </rPr>
      <t>Stereo</t>
    </r>
    <r>
      <rPr>
        <sz val="10"/>
        <color theme="1"/>
        <rFont val="Arial"/>
        <family val="2"/>
      </rPr>
      <t xml:space="preserve"> - Sound captured and reproduced by two channels (right and left) synchronized in time</t>
    </r>
  </si>
  <si>
    <r>
      <rPr>
        <b/>
        <sz val="10"/>
        <color theme="1"/>
        <rFont val="Arial"/>
        <family val="2"/>
      </rPr>
      <t>Surround</t>
    </r>
    <r>
      <rPr>
        <sz val="10"/>
        <color theme="1"/>
        <rFont val="Arial"/>
        <family val="2"/>
      </rPr>
      <t xml:space="preserve"> - Multichannel sound system, 5 or 7 mono channels at the same time</t>
    </r>
  </si>
  <si>
    <r>
      <rPr>
        <b/>
        <sz val="10"/>
        <color theme="1"/>
        <rFont val="Arial"/>
        <family val="2"/>
      </rPr>
      <t>3D</t>
    </r>
    <r>
      <rPr>
        <sz val="10"/>
        <color theme="1"/>
        <rFont val="Arial"/>
        <family val="2"/>
      </rPr>
      <t xml:space="preserve"> - Surround sound emulation using six to eight channels</t>
    </r>
  </si>
  <si>
    <t>Haptics</t>
  </si>
  <si>
    <t>Sense of touch or be touched by something in the VE</t>
  </si>
  <si>
    <r>
      <rPr>
        <b/>
        <sz val="10"/>
        <color theme="1"/>
        <rFont val="Arial"/>
        <family val="2"/>
      </rPr>
      <t>Absent</t>
    </r>
    <r>
      <rPr>
        <sz val="10"/>
        <color theme="1"/>
        <rFont val="Arial"/>
        <family val="2"/>
      </rPr>
      <t xml:space="preserve"> - Does not provide tactile or force feedback </t>
    </r>
  </si>
  <si>
    <r>
      <rPr>
        <b/>
        <sz val="10"/>
        <color theme="1"/>
        <rFont val="Arial"/>
        <family val="2"/>
      </rPr>
      <t>Simple</t>
    </r>
    <r>
      <rPr>
        <sz val="10"/>
        <color theme="1"/>
        <rFont val="Arial"/>
        <family val="2"/>
      </rPr>
      <t xml:space="preserve"> - Simple motor vibration</t>
    </r>
  </si>
  <si>
    <r>
      <rPr>
        <b/>
        <sz val="10"/>
        <color theme="1"/>
        <rFont val="Arial"/>
        <family val="2"/>
      </rPr>
      <t>Complex</t>
    </r>
    <r>
      <rPr>
        <sz val="10"/>
        <color theme="1"/>
        <rFont val="Arial"/>
        <family val="2"/>
      </rPr>
      <t xml:space="preserve"> - It provides force (kinesthetic) feedback and/or detailed tactile (cutaneous) stimulation.</t>
    </r>
  </si>
  <si>
    <t>Olfaction</t>
  </si>
  <si>
    <t>The sensation of perceiving the smells of the simulated environment.</t>
  </si>
  <si>
    <r>
      <rPr>
        <b/>
        <sz val="10"/>
        <color theme="1"/>
        <rFont val="Arial"/>
        <family val="2"/>
      </rPr>
      <t>Absent</t>
    </r>
    <r>
      <rPr>
        <sz val="10"/>
        <color theme="1"/>
        <rFont val="Arial"/>
        <family val="2"/>
      </rPr>
      <t xml:space="preserve"> - Does not provide olfactory feedback</t>
    </r>
  </si>
  <si>
    <r>
      <rPr>
        <b/>
        <sz val="10"/>
        <color theme="1"/>
        <rFont val="Arial"/>
        <family val="2"/>
      </rPr>
      <t>Present</t>
    </r>
    <r>
      <rPr>
        <sz val="10"/>
        <color theme="1"/>
        <rFont val="Arial"/>
        <family val="2"/>
      </rPr>
      <t xml:space="preserve"> - Provides olfactory feedback</t>
    </r>
  </si>
  <si>
    <t>Interactive 
Fidelity</t>
  </si>
  <si>
    <t>The ability of the virtual environment to be modified by user actions</t>
  </si>
  <si>
    <t>Timestamp</t>
  </si>
  <si>
    <t>Untitled Question</t>
  </si>
  <si>
    <t>Inclusiveness</t>
  </si>
  <si>
    <t>The number of external devices required</t>
  </si>
  <si>
    <t>The sense of self-movement and body position</t>
  </si>
  <si>
    <t>The sense of body ownership in the virtual environment</t>
  </si>
  <si>
    <t>The delay between the user action and the reaction of the virtual environment</t>
  </si>
  <si>
    <t>The change of state between the real and virtual world</t>
  </si>
  <si>
    <t>The coordination between user actions and all virtual environment outputs</t>
  </si>
  <si>
    <t>The extent to which virutal environment is considered admissible</t>
  </si>
  <si>
    <t>To what extent does the virtual environment looks visually real</t>
  </si>
  <si>
    <t>The extent of the observable virtual world at any given moment</t>
  </si>
  <si>
    <t>Sense of touch or be touched by something in the virtual environment</t>
  </si>
  <si>
    <t xml:space="preserve">The sensation of perciving the smells </t>
  </si>
  <si>
    <t xml:space="preserve">PRESENCE ESTIMATIVE: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</si>
</sst>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1" fillId="0" borderId="0" xfId="0" applyFont="1" applyAlignment="1">
      <alignment horizontal="left"/>
    </xf>
    <xf numFmtId="0" fontId="2" fillId="2" borderId="2" xfId="0" applyFont="1" applyFill="1" applyBorder="1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0" borderId="1" xfId="0" applyFont="1" applyBorder="1"/>
    <xf numFmtId="0" fontId="2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4" fillId="3" borderId="1" xfId="0" applyFont="1" applyFill="1" applyBorder="1"/>
    <xf numFmtId="0" fontId="3" fillId="0" borderId="1" xfId="0" applyFont="1" applyBorder="1"/>
    <xf numFmtId="0" fontId="3" fillId="0" borderId="7" xfId="0" applyFont="1" applyBorder="1"/>
    <xf numFmtId="164" fontId="3" fillId="0" borderId="1" xfId="0" applyNumberFormat="1" applyFont="1" applyBorder="1"/>
    <xf numFmtId="164" fontId="3" fillId="0" borderId="7" xfId="0" applyNumberFormat="1" applyFont="1" applyBorder="1"/>
    <xf numFmtId="0" fontId="4" fillId="0" borderId="4" xfId="0" applyFont="1" applyBorder="1"/>
    <xf numFmtId="0" fontId="2" fillId="0" borderId="1" xfId="0" applyFont="1" applyBorder="1"/>
    <xf numFmtId="164" fontId="4" fillId="0" borderId="4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0" fontId="4" fillId="0" borderId="10" xfId="0" applyFont="1" applyBorder="1" applyAlignment="1">
      <alignment vertical="center"/>
    </xf>
    <xf numFmtId="164" fontId="4" fillId="3" borderId="1" xfId="0" applyNumberFormat="1" applyFont="1" applyFill="1" applyBorder="1" applyAlignment="1">
      <alignment horizontal="center"/>
    </xf>
    <xf numFmtId="0" fontId="4" fillId="0" borderId="10" xfId="0" applyFont="1" applyBorder="1"/>
    <xf numFmtId="0" fontId="1" fillId="3" borderId="9" xfId="0" applyFont="1" applyFill="1" applyBorder="1" applyAlignment="1">
      <alignment vertical="center"/>
    </xf>
    <xf numFmtId="164" fontId="4" fillId="0" borderId="10" xfId="0" applyNumberFormat="1" applyFont="1" applyBorder="1" applyAlignment="1">
      <alignment horizontal="center"/>
    </xf>
    <xf numFmtId="0" fontId="4" fillId="3" borderId="10" xfId="0" applyFont="1" applyFill="1" applyBorder="1" applyAlignment="1">
      <alignment vertical="center"/>
    </xf>
    <xf numFmtId="0" fontId="3" fillId="0" borderId="0" xfId="0" applyFont="1"/>
    <xf numFmtId="0" fontId="4" fillId="3" borderId="0" xfId="0" applyFont="1" applyFill="1"/>
    <xf numFmtId="164" fontId="4" fillId="3" borderId="0" xfId="0" applyNumberFormat="1" applyFont="1" applyFill="1" applyAlignment="1">
      <alignment horizontal="center"/>
    </xf>
    <xf numFmtId="164" fontId="3" fillId="0" borderId="0" xfId="0" applyNumberFormat="1" applyFont="1"/>
    <xf numFmtId="0" fontId="1" fillId="3" borderId="6" xfId="0" applyFont="1" applyFill="1" applyBorder="1" applyAlignment="1">
      <alignment vertical="center"/>
    </xf>
    <xf numFmtId="0" fontId="3" fillId="0" borderId="11" xfId="0" applyFont="1" applyBorder="1"/>
    <xf numFmtId="0" fontId="4" fillId="3" borderId="6" xfId="0" applyFont="1" applyFill="1" applyBorder="1" applyAlignment="1">
      <alignment vertical="center"/>
    </xf>
    <xf numFmtId="0" fontId="4" fillId="0" borderId="8" xfId="0" applyFont="1" applyBorder="1"/>
    <xf numFmtId="164" fontId="4" fillId="0" borderId="8" xfId="0" applyNumberFormat="1" applyFont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4" fillId="0" borderId="0" xfId="0" applyFont="1"/>
    <xf numFmtId="0" fontId="1" fillId="0" borderId="10" xfId="0" applyFont="1" applyBorder="1"/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/>
    <xf numFmtId="164" fontId="4" fillId="5" borderId="1" xfId="0" applyNumberFormat="1" applyFont="1" applyFill="1" applyBorder="1" applyAlignment="1">
      <alignment horizontal="center"/>
    </xf>
    <xf numFmtId="0" fontId="3" fillId="5" borderId="7" xfId="0" applyFont="1" applyFill="1" applyBorder="1"/>
    <xf numFmtId="164" fontId="4" fillId="5" borderId="0" xfId="0" applyNumberFormat="1" applyFont="1" applyFill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center"/>
    </xf>
    <xf numFmtId="0" fontId="3" fillId="6" borderId="7" xfId="0" applyFont="1" applyFill="1" applyBorder="1"/>
    <xf numFmtId="164" fontId="3" fillId="6" borderId="7" xfId="0" applyNumberFormat="1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0" fontId="3" fillId="6" borderId="0" xfId="0" applyFont="1" applyFill="1"/>
    <xf numFmtId="164" fontId="3" fillId="6" borderId="0" xfId="0" applyNumberFormat="1" applyFont="1" applyFill="1" applyAlignment="1">
      <alignment horizontal="center"/>
    </xf>
    <xf numFmtId="0" fontId="3" fillId="6" borderId="5" xfId="0" applyFont="1" applyFill="1" applyBorder="1"/>
    <xf numFmtId="164" fontId="1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" fillId="3" borderId="4" xfId="0" applyFont="1" applyFill="1" applyBorder="1" applyAlignment="1">
      <alignment vertical="center"/>
    </xf>
    <xf numFmtId="0" fontId="5" fillId="0" borderId="6" xfId="0" applyFont="1" applyBorder="1"/>
    <xf numFmtId="0" fontId="5" fillId="0" borderId="8" xfId="0" applyFont="1" applyBorder="1"/>
    <xf numFmtId="0" fontId="1" fillId="5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6" fillId="0" borderId="0" xfId="0" applyFont="1" applyAlignment="1">
      <alignment horizontal="right"/>
    </xf>
    <xf numFmtId="0" fontId="1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3" xfId="0" applyFont="1" applyBorder="1"/>
    <xf numFmtId="0" fontId="5" fillId="0" borderId="5" xfId="0" applyFont="1" applyBorder="1"/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46"/>
  <sheetViews>
    <sheetView tabSelected="1" workbookViewId="0">
      <selection sqref="A1:E1"/>
    </sheetView>
  </sheetViews>
  <sheetFormatPr baseColWidth="10" defaultColWidth="12.6640625" defaultRowHeight="15.75" customHeight="1" x14ac:dyDescent="0.15"/>
  <cols>
    <col min="1" max="1" width="15" customWidth="1"/>
    <col min="2" max="2" width="20.33203125" customWidth="1"/>
    <col min="3" max="3" width="57" customWidth="1"/>
    <col min="4" max="4" width="21.83203125" customWidth="1"/>
    <col min="5" max="5" width="10.33203125" customWidth="1"/>
  </cols>
  <sheetData>
    <row r="1" spans="1:5" ht="13" x14ac:dyDescent="0.15">
      <c r="A1" s="72" t="s">
        <v>0</v>
      </c>
      <c r="B1" s="73"/>
      <c r="C1" s="73"/>
      <c r="D1" s="73"/>
      <c r="E1" s="73"/>
    </row>
    <row r="2" spans="1:5" ht="13" x14ac:dyDescent="0.15">
      <c r="A2" s="2"/>
      <c r="B2" s="2"/>
      <c r="C2" s="2"/>
      <c r="D2" s="2"/>
      <c r="E2" s="2"/>
    </row>
    <row r="3" spans="1:5" ht="13" x14ac:dyDescent="0.15">
      <c r="A3" s="6" t="s">
        <v>1</v>
      </c>
      <c r="B3" s="6" t="s">
        <v>2</v>
      </c>
      <c r="C3" s="6" t="s">
        <v>3</v>
      </c>
      <c r="D3" s="6" t="s">
        <v>4</v>
      </c>
      <c r="E3" s="8" t="s">
        <v>5</v>
      </c>
    </row>
    <row r="4" spans="1:5" ht="13" x14ac:dyDescent="0.15">
      <c r="A4" s="74" t="s">
        <v>7</v>
      </c>
      <c r="B4" s="9" t="s">
        <v>12</v>
      </c>
      <c r="C4" s="10" t="s">
        <v>15</v>
      </c>
      <c r="D4" s="18" t="s">
        <v>14</v>
      </c>
      <c r="E4" s="30">
        <f>IF(D4=Engagemmmment!D3,0,IF(D4=Engagemmmment!D4,2,IF(D4=Engagemmmment!D5,5,IF(D4=Engagemmmment!D6,7))))</f>
        <v>0</v>
      </c>
    </row>
    <row r="5" spans="1:5" ht="9.75" customHeight="1" x14ac:dyDescent="0.15">
      <c r="A5" s="75"/>
      <c r="B5" s="32"/>
      <c r="C5" s="34"/>
      <c r="D5" s="36"/>
      <c r="E5" s="37"/>
    </row>
    <row r="6" spans="1:5" ht="13" x14ac:dyDescent="0.15">
      <c r="A6" s="75"/>
      <c r="B6" s="39" t="s">
        <v>38</v>
      </c>
      <c r="C6" s="41" t="s">
        <v>42</v>
      </c>
      <c r="D6" s="18" t="s">
        <v>14</v>
      </c>
      <c r="E6" s="30">
        <f>IF(D6=Engagemmmment!D8,0,IF(D6=Engagemmmment!D9,2.5,IF(D6=Engagemmmment!D10,5,IF(D6=Engagemmmment!D11,6.5))))</f>
        <v>0</v>
      </c>
    </row>
    <row r="7" spans="1:5" ht="9" customHeight="1" x14ac:dyDescent="0.15">
      <c r="A7" s="75"/>
      <c r="B7" s="32"/>
      <c r="C7" s="34"/>
      <c r="D7" s="36"/>
      <c r="E7" s="37"/>
    </row>
    <row r="8" spans="1:5" ht="13" x14ac:dyDescent="0.15">
      <c r="A8" s="75"/>
      <c r="B8" s="39" t="s">
        <v>55</v>
      </c>
      <c r="C8" s="44" t="s">
        <v>61</v>
      </c>
      <c r="D8" s="18" t="s">
        <v>14</v>
      </c>
      <c r="E8" s="30">
        <f>IF(D8=Engagemmmment!D13,0,IF(D8=Engagemmmment!D14,2.5,IF(D8=Engagemmmment!D15,5,IF(D8=Engagemmmment!D16,6,IF(D8=Engagemmmment!D17,7)))))</f>
        <v>0</v>
      </c>
    </row>
    <row r="9" spans="1:5" ht="10.5" customHeight="1" x14ac:dyDescent="0.15">
      <c r="A9" s="75"/>
      <c r="B9" s="32"/>
      <c r="C9" s="36"/>
      <c r="D9" s="36"/>
      <c r="E9" s="37"/>
    </row>
    <row r="10" spans="1:5" ht="13" x14ac:dyDescent="0.15">
      <c r="A10" s="75"/>
      <c r="B10" s="39" t="s">
        <v>71</v>
      </c>
      <c r="C10" s="10" t="s">
        <v>78</v>
      </c>
      <c r="D10" s="18" t="s">
        <v>14</v>
      </c>
      <c r="E10" s="30">
        <f>IF(D10=Engagemmmment!D19,0,IF(D10=Engagemmmment!D20,1,IF(D10=Engagemmmment!D21,3,IF(D10=Engagemmmment!D22,5,IF(D10=Engagemmmment!D23,7)))))</f>
        <v>0</v>
      </c>
    </row>
    <row r="11" spans="1:5" ht="10.5" customHeight="1" x14ac:dyDescent="0.15">
      <c r="A11" s="75"/>
      <c r="B11" s="32"/>
      <c r="C11" s="34"/>
      <c r="D11" s="36"/>
      <c r="E11" s="37"/>
    </row>
    <row r="12" spans="1:5" ht="13" x14ac:dyDescent="0.15">
      <c r="A12" s="75"/>
      <c r="B12" s="39" t="s">
        <v>88</v>
      </c>
      <c r="C12" s="41" t="s">
        <v>94</v>
      </c>
      <c r="D12" s="18" t="s">
        <v>14</v>
      </c>
      <c r="E12" s="30">
        <f>IF(D12=Engagemmmment!D25,0,IF(D12=Engagemmmment!D26,1,IF(D12=Engagemmmment!D27,3,IF(D12=Engagemmmment!D28,5,IF(D12=Engagemmmment!D29,7)))))</f>
        <v>0</v>
      </c>
    </row>
    <row r="13" spans="1:5" ht="11.25" customHeight="1" x14ac:dyDescent="0.15">
      <c r="A13" s="75"/>
      <c r="B13" s="32"/>
      <c r="C13" s="34"/>
      <c r="D13" s="36"/>
      <c r="E13" s="37"/>
    </row>
    <row r="14" spans="1:5" ht="13" x14ac:dyDescent="0.15">
      <c r="A14" s="75"/>
      <c r="B14" s="39" t="s">
        <v>105</v>
      </c>
      <c r="C14" s="41" t="s">
        <v>109</v>
      </c>
      <c r="D14" s="18" t="s">
        <v>14</v>
      </c>
      <c r="E14" s="30">
        <f>IF(D14=Engagemmmment!D31,0,IF(D14=Engagemmmment!D32,1,IF(D14=Engagemmmment!D33,4,IF(D14=Engagemmmment!D34,7))))</f>
        <v>0</v>
      </c>
    </row>
    <row r="15" spans="1:5" ht="11.25" customHeight="1" x14ac:dyDescent="0.15">
      <c r="A15" s="75"/>
      <c r="B15" s="32"/>
      <c r="C15" s="34"/>
      <c r="D15" s="36"/>
      <c r="E15" s="37"/>
    </row>
    <row r="16" spans="1:5" ht="13" x14ac:dyDescent="0.15">
      <c r="A16" s="76"/>
      <c r="B16" s="47" t="s">
        <v>119</v>
      </c>
      <c r="C16" s="44" t="s">
        <v>121</v>
      </c>
      <c r="D16" s="18" t="s">
        <v>14</v>
      </c>
      <c r="E16" s="30">
        <f>IF(D16=Engagemmmment!D36,0,IF(D16=Engagemmmment!D37,1,IF(D16=Engagemmmment!D38,3,IF(D16=Engagemmmment!D39,5,IF(D16=Engagemmmment!D40,7)))))</f>
        <v>0</v>
      </c>
    </row>
    <row r="17" spans="1:5" ht="13.5" customHeight="1" x14ac:dyDescent="0.15">
      <c r="A17" s="51"/>
      <c r="B17" s="51"/>
      <c r="C17" s="35"/>
      <c r="D17" s="35"/>
      <c r="E17" s="53">
        <f>AVERAGE(E4:E16)</f>
        <v>0</v>
      </c>
    </row>
    <row r="18" spans="1:5" ht="9.75" customHeight="1" x14ac:dyDescent="0.15">
      <c r="A18" s="51"/>
      <c r="B18" s="51"/>
      <c r="C18" s="35"/>
      <c r="D18" s="35"/>
      <c r="E18" s="52"/>
    </row>
    <row r="19" spans="1:5" ht="14" x14ac:dyDescent="0.15">
      <c r="A19" s="77" t="s">
        <v>142</v>
      </c>
      <c r="B19" s="54" t="s">
        <v>9</v>
      </c>
      <c r="C19" s="55" t="s">
        <v>143</v>
      </c>
      <c r="D19" s="55" t="s">
        <v>14</v>
      </c>
      <c r="E19" s="56">
        <f>IF(D19=Interactive!D2,0,IF(D19=Interactive!D3,1,IF(D19=Interactive!D4,4.5,IF(D19=Interactive!D5,5.5,IF(D19=Interactive!D6,7)))))</f>
        <v>0</v>
      </c>
    </row>
    <row r="20" spans="1:5" ht="11.25" customHeight="1" x14ac:dyDescent="0.15">
      <c r="A20" s="75"/>
      <c r="B20" s="55"/>
      <c r="C20" s="55"/>
      <c r="D20" s="57"/>
      <c r="E20" s="58"/>
    </row>
    <row r="21" spans="1:5" ht="13" x14ac:dyDescent="0.15">
      <c r="A21" s="76"/>
      <c r="B21" s="59" t="s">
        <v>27</v>
      </c>
      <c r="C21" s="55" t="s">
        <v>29</v>
      </c>
      <c r="D21" s="55" t="s">
        <v>14</v>
      </c>
      <c r="E21" s="56">
        <f>IF(D21=Interactive!D8,0,IF(D21=Interactive!D9,1,IF(D21=Interactive!D10,2,IF(D21=Interactive!D11,5,IF(D21=Interactive!D12,7,IF(D21=#REF!,6,IF(D21=#REF!,7,IF(D21=#REF!,7))))))))</f>
        <v>0</v>
      </c>
    </row>
    <row r="22" spans="1:5" ht="13.5" customHeight="1" x14ac:dyDescent="0.15">
      <c r="E22" s="53">
        <f>AVERAGE(E19:E21)</f>
        <v>0</v>
      </c>
    </row>
    <row r="23" spans="1:5" ht="10.5" customHeight="1" x14ac:dyDescent="0.15">
      <c r="E23" s="52"/>
    </row>
    <row r="24" spans="1:5" ht="13" x14ac:dyDescent="0.15">
      <c r="A24" s="78" t="s">
        <v>8</v>
      </c>
      <c r="B24" s="60" t="s">
        <v>146</v>
      </c>
      <c r="C24" s="61" t="s">
        <v>147</v>
      </c>
      <c r="D24" s="62" t="s">
        <v>14</v>
      </c>
      <c r="E24" s="63">
        <f>IF(D24=Sensorial!D3,0,IF(D24=Sensorial!D4,1.5,IF(D24=Sensorial!D5,3.5,IF(D24=Sensorial!D6,5.5,IF(D24=Sensorial!D7,7)))))</f>
        <v>0</v>
      </c>
    </row>
    <row r="25" spans="1:5" ht="9.75" customHeight="1" x14ac:dyDescent="0.15">
      <c r="A25" s="75"/>
      <c r="B25" s="64"/>
      <c r="C25" s="64"/>
      <c r="D25" s="64"/>
      <c r="E25" s="65"/>
    </row>
    <row r="26" spans="1:5" ht="13" x14ac:dyDescent="0.15">
      <c r="A26" s="75"/>
      <c r="B26" s="60" t="s">
        <v>28</v>
      </c>
      <c r="C26" s="61" t="s">
        <v>148</v>
      </c>
      <c r="D26" s="62" t="s">
        <v>14</v>
      </c>
      <c r="E26" s="63">
        <f>IF(D26=Sensorial!D9,0,IF(D26=Sensorial!D10,1,IF(D26=Sensorial!D11,2.5,IF(D26=Sensorial!D12,4.5,IF(D26=Sensorial!D13,6.5)))))</f>
        <v>0</v>
      </c>
    </row>
    <row r="27" spans="1:5" ht="9" customHeight="1" x14ac:dyDescent="0.15">
      <c r="A27" s="75"/>
      <c r="B27" s="64"/>
      <c r="C27" s="64"/>
      <c r="D27" s="64"/>
      <c r="E27" s="65"/>
    </row>
    <row r="28" spans="1:5" ht="13" x14ac:dyDescent="0.15">
      <c r="A28" s="75"/>
      <c r="B28" s="60" t="s">
        <v>44</v>
      </c>
      <c r="C28" s="61" t="s">
        <v>149</v>
      </c>
      <c r="D28" s="62" t="s">
        <v>14</v>
      </c>
      <c r="E28" s="63">
        <f>IF(D28=Sensorial!D15,0,IF(D28=Sensorial!D16,1.5,IF(D28=Sensorial!D17,4.5,IF(D28=Sensorial!D18,7))))</f>
        <v>0</v>
      </c>
    </row>
    <row r="29" spans="1:5" ht="9.75" customHeight="1" x14ac:dyDescent="0.15">
      <c r="A29" s="75"/>
      <c r="B29" s="64"/>
      <c r="C29" s="64"/>
      <c r="D29" s="64"/>
      <c r="E29" s="65"/>
    </row>
    <row r="30" spans="1:5" ht="13" x14ac:dyDescent="0.15">
      <c r="A30" s="75"/>
      <c r="B30" s="60" t="s">
        <v>51</v>
      </c>
      <c r="C30" s="61" t="s">
        <v>150</v>
      </c>
      <c r="D30" s="62" t="s">
        <v>14</v>
      </c>
      <c r="E30" s="66">
        <f>IF(D30=Sensorial!D20,0,IF(D30=Sensorial!D21,1.5,IF(D30=Sensorial!D22,4.5,IF(D30=Sensorial!D23,7))))</f>
        <v>0</v>
      </c>
    </row>
    <row r="31" spans="1:5" ht="10.5" customHeight="1" x14ac:dyDescent="0.15">
      <c r="A31" s="75"/>
      <c r="B31" s="64"/>
      <c r="C31" s="64"/>
      <c r="D31" s="64"/>
      <c r="E31" s="65"/>
    </row>
    <row r="32" spans="1:5" ht="13" x14ac:dyDescent="0.15">
      <c r="A32" s="75"/>
      <c r="B32" s="60" t="s">
        <v>59</v>
      </c>
      <c r="C32" s="61" t="s">
        <v>151</v>
      </c>
      <c r="D32" s="62" t="s">
        <v>14</v>
      </c>
      <c r="E32" s="63">
        <f>IF(D32=Sensorial!D25,0,IF(D32=Sensorial!D26,4,IF(D32=Sensorial!D27,7)))</f>
        <v>0</v>
      </c>
    </row>
    <row r="33" spans="1:5" ht="10.5" customHeight="1" x14ac:dyDescent="0.15">
      <c r="A33" s="75"/>
      <c r="B33" s="64"/>
      <c r="C33" s="64"/>
      <c r="D33" s="64"/>
      <c r="E33" s="65"/>
    </row>
    <row r="34" spans="1:5" ht="13" x14ac:dyDescent="0.15">
      <c r="A34" s="75"/>
      <c r="B34" s="60" t="s">
        <v>67</v>
      </c>
      <c r="C34" s="61" t="s">
        <v>152</v>
      </c>
      <c r="D34" s="62" t="s">
        <v>14</v>
      </c>
      <c r="E34" s="66">
        <f>IF(D34=Sensorial!D29,0,IF(D34=Sensorial!D30,3,IF(D34=Sensorial!D31,6.5)))</f>
        <v>0</v>
      </c>
    </row>
    <row r="35" spans="1:5" ht="10.5" customHeight="1" x14ac:dyDescent="0.15">
      <c r="A35" s="75"/>
      <c r="B35" s="64"/>
      <c r="C35" s="64"/>
      <c r="D35" s="64"/>
      <c r="E35" s="65"/>
    </row>
    <row r="36" spans="1:5" ht="13" x14ac:dyDescent="0.15">
      <c r="A36" s="75"/>
      <c r="B36" s="60" t="s">
        <v>74</v>
      </c>
      <c r="C36" s="61" t="s">
        <v>153</v>
      </c>
      <c r="D36" s="62" t="s">
        <v>14</v>
      </c>
      <c r="E36" s="63">
        <f>IF(D36=Sensorial!D33,0,IF(D36=Sensorial!D34,3,IF(D36=Sensorial!D35,6.5)))</f>
        <v>0</v>
      </c>
    </row>
    <row r="37" spans="1:5" ht="11.25" customHeight="1" x14ac:dyDescent="0.15">
      <c r="A37" s="75"/>
      <c r="B37" s="67"/>
      <c r="C37" s="67"/>
      <c r="D37" s="67"/>
      <c r="E37" s="68"/>
    </row>
    <row r="38" spans="1:5" ht="13" x14ac:dyDescent="0.15">
      <c r="A38" s="75"/>
      <c r="B38" s="60" t="s">
        <v>81</v>
      </c>
      <c r="C38" s="61" t="s">
        <v>154</v>
      </c>
      <c r="D38" s="62" t="s">
        <v>14</v>
      </c>
      <c r="E38" s="63">
        <f>IF(D38=Sensorial!D37,0,IF(D38=Sensorial!D38,1,IF(D38=Sensorial!D39,4,IF(D38=Sensorial!D40,7))))</f>
        <v>0</v>
      </c>
    </row>
    <row r="39" spans="1:5" ht="9" customHeight="1" x14ac:dyDescent="0.15">
      <c r="A39" s="75"/>
      <c r="B39" s="64"/>
      <c r="C39" s="64"/>
      <c r="D39" s="64"/>
      <c r="E39" s="65"/>
    </row>
    <row r="40" spans="1:5" ht="13" x14ac:dyDescent="0.15">
      <c r="A40" s="75"/>
      <c r="B40" s="60" t="s">
        <v>89</v>
      </c>
      <c r="C40" s="61" t="s">
        <v>155</v>
      </c>
      <c r="D40" s="62" t="s">
        <v>14</v>
      </c>
      <c r="E40" s="66">
        <f>IF(D40=Sensorial!D42,0,IF(D40=Sensorial!D43,3,IF(D40=Sensorial!D44,6,IF(D40=Sensorial!D45,7))))</f>
        <v>0</v>
      </c>
    </row>
    <row r="41" spans="1:5" ht="11.25" customHeight="1" x14ac:dyDescent="0.15">
      <c r="A41" s="75"/>
      <c r="B41" s="64"/>
      <c r="C41" s="64"/>
      <c r="D41" s="64"/>
      <c r="E41" s="65"/>
    </row>
    <row r="42" spans="1:5" ht="13" x14ac:dyDescent="0.15">
      <c r="A42" s="75"/>
      <c r="B42" s="60" t="s">
        <v>99</v>
      </c>
      <c r="C42" s="61" t="s">
        <v>101</v>
      </c>
      <c r="D42" s="69" t="s">
        <v>14</v>
      </c>
      <c r="E42" s="66">
        <f>IF(D42=Sensorial!D47,0,IF(D42=Sensorial!D48,1,IF(D42=Sensorial!D49,2,IF(D42=Sensorial!D50,3,IF(D42=Sensorial!D51,4,IF(D42=Sensorial!D52,5,IF(D42=Sensorial!D53,6,IF(D42=Sensorial!D54,7))))))))</f>
        <v>0</v>
      </c>
    </row>
    <row r="43" spans="1:5" ht="11.25" customHeight="1" x14ac:dyDescent="0.15">
      <c r="A43" s="75"/>
      <c r="B43" s="64"/>
      <c r="C43" s="64"/>
      <c r="D43" s="64"/>
      <c r="E43" s="65"/>
    </row>
    <row r="44" spans="1:5" ht="13" x14ac:dyDescent="0.15">
      <c r="A44" s="75"/>
      <c r="B44" s="60" t="s">
        <v>115</v>
      </c>
      <c r="C44" s="61" t="s">
        <v>117</v>
      </c>
      <c r="D44" s="69" t="s">
        <v>14</v>
      </c>
      <c r="E44" s="66">
        <f>IF(D44=Sensorial!D56,0,IF(D44=Sensorial!D57,2.5,IF(D44=Sensorial!D58,5.5,IF(D44=Sensorial!D59,7))))</f>
        <v>0</v>
      </c>
    </row>
    <row r="45" spans="1:5" ht="9.75" customHeight="1" x14ac:dyDescent="0.15">
      <c r="A45" s="75"/>
      <c r="B45" s="64"/>
      <c r="C45" s="64"/>
      <c r="D45" s="64"/>
      <c r="E45" s="65"/>
    </row>
    <row r="46" spans="1:5" ht="13" x14ac:dyDescent="0.15">
      <c r="A46" s="75"/>
      <c r="B46" s="60" t="s">
        <v>123</v>
      </c>
      <c r="C46" s="61" t="s">
        <v>124</v>
      </c>
      <c r="D46" s="69" t="s">
        <v>14</v>
      </c>
      <c r="E46" s="66">
        <f>IF(D46=Sensorial!D61,0,IF(D46=Sensorial!D62,2.5,IF(D46=Sensorial!D63,5,IF(D46=Sensorial!D64,6,IF(D46=Sensorial!D65,7)))))</f>
        <v>0</v>
      </c>
    </row>
    <row r="47" spans="1:5" ht="9.75" customHeight="1" x14ac:dyDescent="0.15">
      <c r="A47" s="75"/>
      <c r="B47" s="64"/>
      <c r="C47" s="64"/>
      <c r="D47" s="64"/>
      <c r="E47" s="65"/>
    </row>
    <row r="48" spans="1:5" ht="13" x14ac:dyDescent="0.15">
      <c r="A48" s="75"/>
      <c r="B48" s="60" t="s">
        <v>133</v>
      </c>
      <c r="C48" s="61" t="s">
        <v>156</v>
      </c>
      <c r="D48" s="69" t="s">
        <v>14</v>
      </c>
      <c r="E48" s="66">
        <f>IF(D48=Sensorial!D67,0,IF(D48=Sensorial!D68,1,IF(D48=Sensorial!D69,6.5,IF(D48=Sensorial!D70,6.5))))</f>
        <v>0</v>
      </c>
    </row>
    <row r="49" spans="1:5" ht="10.5" customHeight="1" x14ac:dyDescent="0.15">
      <c r="A49" s="75"/>
      <c r="B49" s="64"/>
      <c r="C49" s="64"/>
      <c r="D49" s="64"/>
      <c r="E49" s="65"/>
    </row>
    <row r="50" spans="1:5" ht="13" x14ac:dyDescent="0.15">
      <c r="A50" s="76"/>
      <c r="B50" s="60" t="s">
        <v>138</v>
      </c>
      <c r="C50" s="61" t="s">
        <v>157</v>
      </c>
      <c r="D50" s="62" t="s">
        <v>14</v>
      </c>
      <c r="E50" s="63">
        <f>IF(D50=Sensorial!D72,0,IF(D50=Sensorial!D73,3,IF(D50=Sensorial!D74,6.5)))</f>
        <v>0</v>
      </c>
    </row>
    <row r="51" spans="1:5" ht="13.5" customHeight="1" x14ac:dyDescent="0.15">
      <c r="E51" s="70">
        <f>AVERAGE(E24:E50)</f>
        <v>0</v>
      </c>
    </row>
    <row r="52" spans="1:5" ht="13" x14ac:dyDescent="0.15">
      <c r="E52" s="52"/>
    </row>
    <row r="53" spans="1:5" ht="23.25" customHeight="1" x14ac:dyDescent="0.2">
      <c r="C53" s="79" t="s">
        <v>158</v>
      </c>
      <c r="D53" s="73"/>
      <c r="E53" s="71">
        <f>AVERAGE(E17,E22,E51)</f>
        <v>0</v>
      </c>
    </row>
    <row r="54" spans="1:5" ht="16.5" customHeight="1" x14ac:dyDescent="0.15">
      <c r="E54" s="52"/>
    </row>
    <row r="55" spans="1:5" ht="13" x14ac:dyDescent="0.15">
      <c r="E55" s="52"/>
    </row>
    <row r="56" spans="1:5" ht="13" x14ac:dyDescent="0.15">
      <c r="E56" s="52"/>
    </row>
    <row r="57" spans="1:5" ht="13" x14ac:dyDescent="0.15">
      <c r="E57" s="52"/>
    </row>
    <row r="58" spans="1:5" ht="13" x14ac:dyDescent="0.15">
      <c r="E58" s="52"/>
    </row>
    <row r="59" spans="1:5" ht="13" x14ac:dyDescent="0.15">
      <c r="E59" s="52"/>
    </row>
    <row r="60" spans="1:5" ht="13" x14ac:dyDescent="0.15">
      <c r="E60" s="52"/>
    </row>
    <row r="61" spans="1:5" ht="13" x14ac:dyDescent="0.15">
      <c r="E61" s="52"/>
    </row>
    <row r="62" spans="1:5" ht="13" x14ac:dyDescent="0.15">
      <c r="E62" s="52"/>
    </row>
    <row r="63" spans="1:5" ht="13" x14ac:dyDescent="0.15">
      <c r="E63" s="52"/>
    </row>
    <row r="64" spans="1:5" ht="13" x14ac:dyDescent="0.15">
      <c r="E64" s="52"/>
    </row>
    <row r="65" spans="5:5" ht="13" x14ac:dyDescent="0.15">
      <c r="E65" s="52"/>
    </row>
    <row r="66" spans="5:5" ht="13" x14ac:dyDescent="0.15">
      <c r="E66" s="52"/>
    </row>
    <row r="67" spans="5:5" ht="13" x14ac:dyDescent="0.15">
      <c r="E67" s="52"/>
    </row>
    <row r="68" spans="5:5" ht="13" x14ac:dyDescent="0.15">
      <c r="E68" s="52"/>
    </row>
    <row r="69" spans="5:5" ht="13" x14ac:dyDescent="0.15">
      <c r="E69" s="52"/>
    </row>
    <row r="70" spans="5:5" ht="13" x14ac:dyDescent="0.15">
      <c r="E70" s="52"/>
    </row>
    <row r="71" spans="5:5" ht="13" x14ac:dyDescent="0.15">
      <c r="E71" s="52"/>
    </row>
    <row r="72" spans="5:5" ht="13" x14ac:dyDescent="0.15">
      <c r="E72" s="52"/>
    </row>
    <row r="73" spans="5:5" ht="13" x14ac:dyDescent="0.15">
      <c r="E73" s="52"/>
    </row>
    <row r="74" spans="5:5" ht="13" x14ac:dyDescent="0.15">
      <c r="E74" s="52"/>
    </row>
    <row r="75" spans="5:5" ht="13" x14ac:dyDescent="0.15">
      <c r="E75" s="52"/>
    </row>
    <row r="76" spans="5:5" ht="13" x14ac:dyDescent="0.15">
      <c r="E76" s="52"/>
    </row>
    <row r="77" spans="5:5" ht="13" x14ac:dyDescent="0.15">
      <c r="E77" s="52"/>
    </row>
    <row r="78" spans="5:5" ht="13" x14ac:dyDescent="0.15">
      <c r="E78" s="52"/>
    </row>
    <row r="79" spans="5:5" ht="13" x14ac:dyDescent="0.15">
      <c r="E79" s="52"/>
    </row>
    <row r="80" spans="5:5" ht="13" x14ac:dyDescent="0.15">
      <c r="E80" s="52"/>
    </row>
    <row r="81" spans="5:5" ht="13" x14ac:dyDescent="0.15">
      <c r="E81" s="52"/>
    </row>
    <row r="82" spans="5:5" ht="13" x14ac:dyDescent="0.15">
      <c r="E82" s="52"/>
    </row>
    <row r="83" spans="5:5" ht="13" x14ac:dyDescent="0.15">
      <c r="E83" s="52"/>
    </row>
    <row r="84" spans="5:5" ht="13" x14ac:dyDescent="0.15">
      <c r="E84" s="52"/>
    </row>
    <row r="85" spans="5:5" ht="13" x14ac:dyDescent="0.15">
      <c r="E85" s="52"/>
    </row>
    <row r="86" spans="5:5" ht="13" x14ac:dyDescent="0.15">
      <c r="E86" s="52"/>
    </row>
    <row r="87" spans="5:5" ht="13" x14ac:dyDescent="0.15">
      <c r="E87" s="52"/>
    </row>
    <row r="88" spans="5:5" ht="13" x14ac:dyDescent="0.15">
      <c r="E88" s="52"/>
    </row>
    <row r="89" spans="5:5" ht="13" x14ac:dyDescent="0.15">
      <c r="E89" s="52"/>
    </row>
    <row r="90" spans="5:5" ht="13" x14ac:dyDescent="0.15">
      <c r="E90" s="52"/>
    </row>
    <row r="91" spans="5:5" ht="13" x14ac:dyDescent="0.15">
      <c r="E91" s="52"/>
    </row>
    <row r="92" spans="5:5" ht="13" x14ac:dyDescent="0.15">
      <c r="E92" s="52"/>
    </row>
    <row r="93" spans="5:5" ht="13" x14ac:dyDescent="0.15">
      <c r="E93" s="52"/>
    </row>
    <row r="94" spans="5:5" ht="13" x14ac:dyDescent="0.15">
      <c r="E94" s="52"/>
    </row>
    <row r="95" spans="5:5" ht="13" x14ac:dyDescent="0.15">
      <c r="E95" s="52"/>
    </row>
    <row r="96" spans="5:5" ht="13" x14ac:dyDescent="0.15">
      <c r="E96" s="52"/>
    </row>
    <row r="97" spans="5:5" ht="13" x14ac:dyDescent="0.15">
      <c r="E97" s="52"/>
    </row>
    <row r="98" spans="5:5" ht="13" x14ac:dyDescent="0.15">
      <c r="E98" s="52"/>
    </row>
    <row r="99" spans="5:5" ht="13" x14ac:dyDescent="0.15">
      <c r="E99" s="52"/>
    </row>
    <row r="100" spans="5:5" ht="13" x14ac:dyDescent="0.15">
      <c r="E100" s="52"/>
    </row>
    <row r="101" spans="5:5" ht="13" x14ac:dyDescent="0.15">
      <c r="E101" s="52"/>
    </row>
    <row r="102" spans="5:5" ht="13" x14ac:dyDescent="0.15">
      <c r="E102" s="52"/>
    </row>
    <row r="103" spans="5:5" ht="13" x14ac:dyDescent="0.15">
      <c r="E103" s="52"/>
    </row>
    <row r="104" spans="5:5" ht="13" x14ac:dyDescent="0.15">
      <c r="E104" s="52"/>
    </row>
    <row r="105" spans="5:5" ht="13" x14ac:dyDescent="0.15">
      <c r="E105" s="52"/>
    </row>
    <row r="106" spans="5:5" ht="13" x14ac:dyDescent="0.15">
      <c r="E106" s="52"/>
    </row>
    <row r="107" spans="5:5" ht="13" x14ac:dyDescent="0.15">
      <c r="E107" s="52"/>
    </row>
    <row r="108" spans="5:5" ht="13" x14ac:dyDescent="0.15">
      <c r="E108" s="52"/>
    </row>
    <row r="109" spans="5:5" ht="13" x14ac:dyDescent="0.15">
      <c r="E109" s="52"/>
    </row>
    <row r="110" spans="5:5" ht="13" x14ac:dyDescent="0.15">
      <c r="E110" s="52"/>
    </row>
    <row r="111" spans="5:5" ht="13" x14ac:dyDescent="0.15">
      <c r="E111" s="52"/>
    </row>
    <row r="112" spans="5:5" ht="13" x14ac:dyDescent="0.15">
      <c r="E112" s="52"/>
    </row>
    <row r="113" spans="5:5" ht="13" x14ac:dyDescent="0.15">
      <c r="E113" s="52"/>
    </row>
    <row r="114" spans="5:5" ht="13" x14ac:dyDescent="0.15">
      <c r="E114" s="52"/>
    </row>
    <row r="115" spans="5:5" ht="13" x14ac:dyDescent="0.15">
      <c r="E115" s="52"/>
    </row>
    <row r="116" spans="5:5" ht="13" x14ac:dyDescent="0.15">
      <c r="E116" s="52"/>
    </row>
    <row r="117" spans="5:5" ht="13" x14ac:dyDescent="0.15">
      <c r="E117" s="52"/>
    </row>
    <row r="118" spans="5:5" ht="13" x14ac:dyDescent="0.15">
      <c r="E118" s="52"/>
    </row>
    <row r="119" spans="5:5" ht="13" x14ac:dyDescent="0.15">
      <c r="E119" s="52"/>
    </row>
    <row r="120" spans="5:5" ht="13" x14ac:dyDescent="0.15">
      <c r="E120" s="52"/>
    </row>
    <row r="121" spans="5:5" ht="13" x14ac:dyDescent="0.15">
      <c r="E121" s="52"/>
    </row>
    <row r="122" spans="5:5" ht="13" x14ac:dyDescent="0.15">
      <c r="E122" s="52"/>
    </row>
    <row r="123" spans="5:5" ht="13" x14ac:dyDescent="0.15">
      <c r="E123" s="52"/>
    </row>
    <row r="124" spans="5:5" ht="13" x14ac:dyDescent="0.15">
      <c r="E124" s="52"/>
    </row>
    <row r="125" spans="5:5" ht="13" x14ac:dyDescent="0.15">
      <c r="E125" s="52"/>
    </row>
    <row r="126" spans="5:5" ht="13" x14ac:dyDescent="0.15">
      <c r="E126" s="52"/>
    </row>
    <row r="127" spans="5:5" ht="13" x14ac:dyDescent="0.15">
      <c r="E127" s="52"/>
    </row>
    <row r="128" spans="5:5" ht="13" x14ac:dyDescent="0.15">
      <c r="E128" s="52"/>
    </row>
    <row r="129" spans="5:5" ht="13" x14ac:dyDescent="0.15">
      <c r="E129" s="52"/>
    </row>
    <row r="130" spans="5:5" ht="13" x14ac:dyDescent="0.15">
      <c r="E130" s="52"/>
    </row>
    <row r="131" spans="5:5" ht="13" x14ac:dyDescent="0.15">
      <c r="E131" s="52"/>
    </row>
    <row r="132" spans="5:5" ht="13" x14ac:dyDescent="0.15">
      <c r="E132" s="52"/>
    </row>
    <row r="133" spans="5:5" ht="13" x14ac:dyDescent="0.15">
      <c r="E133" s="52"/>
    </row>
    <row r="134" spans="5:5" ht="13" x14ac:dyDescent="0.15">
      <c r="E134" s="52"/>
    </row>
    <row r="135" spans="5:5" ht="13" x14ac:dyDescent="0.15">
      <c r="E135" s="52"/>
    </row>
    <row r="136" spans="5:5" ht="13" x14ac:dyDescent="0.15">
      <c r="E136" s="52"/>
    </row>
    <row r="137" spans="5:5" ht="13" x14ac:dyDescent="0.15">
      <c r="E137" s="52"/>
    </row>
    <row r="138" spans="5:5" ht="13" x14ac:dyDescent="0.15">
      <c r="E138" s="52"/>
    </row>
    <row r="139" spans="5:5" ht="13" x14ac:dyDescent="0.15">
      <c r="E139" s="52"/>
    </row>
    <row r="140" spans="5:5" ht="13" x14ac:dyDescent="0.15">
      <c r="E140" s="52"/>
    </row>
    <row r="141" spans="5:5" ht="13" x14ac:dyDescent="0.15">
      <c r="E141" s="52"/>
    </row>
    <row r="142" spans="5:5" ht="13" x14ac:dyDescent="0.15">
      <c r="E142" s="52"/>
    </row>
    <row r="143" spans="5:5" ht="13" x14ac:dyDescent="0.15">
      <c r="E143" s="52"/>
    </row>
    <row r="144" spans="5:5" ht="13" x14ac:dyDescent="0.15">
      <c r="E144" s="52"/>
    </row>
    <row r="145" spans="5:5" ht="13" x14ac:dyDescent="0.15">
      <c r="E145" s="52"/>
    </row>
    <row r="146" spans="5:5" ht="13" x14ac:dyDescent="0.15">
      <c r="E146" s="52"/>
    </row>
    <row r="147" spans="5:5" ht="13" x14ac:dyDescent="0.15">
      <c r="E147" s="52"/>
    </row>
    <row r="148" spans="5:5" ht="13" x14ac:dyDescent="0.15">
      <c r="E148" s="52"/>
    </row>
    <row r="149" spans="5:5" ht="13" x14ac:dyDescent="0.15">
      <c r="E149" s="52"/>
    </row>
    <row r="150" spans="5:5" ht="13" x14ac:dyDescent="0.15">
      <c r="E150" s="52"/>
    </row>
    <row r="151" spans="5:5" ht="13" x14ac:dyDescent="0.15">
      <c r="E151" s="52"/>
    </row>
    <row r="152" spans="5:5" ht="13" x14ac:dyDescent="0.15">
      <c r="E152" s="52"/>
    </row>
    <row r="153" spans="5:5" ht="13" x14ac:dyDescent="0.15">
      <c r="E153" s="52"/>
    </row>
    <row r="154" spans="5:5" ht="13" x14ac:dyDescent="0.15">
      <c r="E154" s="52"/>
    </row>
    <row r="155" spans="5:5" ht="13" x14ac:dyDescent="0.15">
      <c r="E155" s="52"/>
    </row>
    <row r="156" spans="5:5" ht="13" x14ac:dyDescent="0.15">
      <c r="E156" s="52"/>
    </row>
    <row r="157" spans="5:5" ht="13" x14ac:dyDescent="0.15">
      <c r="E157" s="52"/>
    </row>
    <row r="158" spans="5:5" ht="13" x14ac:dyDescent="0.15">
      <c r="E158" s="52"/>
    </row>
    <row r="159" spans="5:5" ht="13" x14ac:dyDescent="0.15">
      <c r="E159" s="52"/>
    </row>
    <row r="160" spans="5:5" ht="13" x14ac:dyDescent="0.15">
      <c r="E160" s="52"/>
    </row>
    <row r="161" spans="5:5" ht="13" x14ac:dyDescent="0.15">
      <c r="E161" s="52"/>
    </row>
    <row r="162" spans="5:5" ht="13" x14ac:dyDescent="0.15">
      <c r="E162" s="52"/>
    </row>
    <row r="163" spans="5:5" ht="13" x14ac:dyDescent="0.15">
      <c r="E163" s="52"/>
    </row>
    <row r="164" spans="5:5" ht="13" x14ac:dyDescent="0.15">
      <c r="E164" s="52"/>
    </row>
    <row r="165" spans="5:5" ht="13" x14ac:dyDescent="0.15">
      <c r="E165" s="52"/>
    </row>
    <row r="166" spans="5:5" ht="13" x14ac:dyDescent="0.15">
      <c r="E166" s="52"/>
    </row>
    <row r="167" spans="5:5" ht="13" x14ac:dyDescent="0.15">
      <c r="E167" s="52"/>
    </row>
    <row r="168" spans="5:5" ht="13" x14ac:dyDescent="0.15">
      <c r="E168" s="52"/>
    </row>
    <row r="169" spans="5:5" ht="13" x14ac:dyDescent="0.15">
      <c r="E169" s="52"/>
    </row>
    <row r="170" spans="5:5" ht="13" x14ac:dyDescent="0.15">
      <c r="E170" s="52"/>
    </row>
    <row r="171" spans="5:5" ht="13" x14ac:dyDescent="0.15">
      <c r="E171" s="52"/>
    </row>
    <row r="172" spans="5:5" ht="13" x14ac:dyDescent="0.15">
      <c r="E172" s="52"/>
    </row>
    <row r="173" spans="5:5" ht="13" x14ac:dyDescent="0.15">
      <c r="E173" s="52"/>
    </row>
    <row r="174" spans="5:5" ht="13" x14ac:dyDescent="0.15">
      <c r="E174" s="52"/>
    </row>
    <row r="175" spans="5:5" ht="13" x14ac:dyDescent="0.15">
      <c r="E175" s="52"/>
    </row>
    <row r="176" spans="5:5" ht="13" x14ac:dyDescent="0.15">
      <c r="E176" s="52"/>
    </row>
    <row r="177" spans="5:5" ht="13" x14ac:dyDescent="0.15">
      <c r="E177" s="52"/>
    </row>
    <row r="178" spans="5:5" ht="13" x14ac:dyDescent="0.15">
      <c r="E178" s="52"/>
    </row>
    <row r="179" spans="5:5" ht="13" x14ac:dyDescent="0.15">
      <c r="E179" s="52"/>
    </row>
    <row r="180" spans="5:5" ht="13" x14ac:dyDescent="0.15">
      <c r="E180" s="52"/>
    </row>
    <row r="181" spans="5:5" ht="13" x14ac:dyDescent="0.15">
      <c r="E181" s="52"/>
    </row>
    <row r="182" spans="5:5" ht="13" x14ac:dyDescent="0.15">
      <c r="E182" s="52"/>
    </row>
    <row r="183" spans="5:5" ht="13" x14ac:dyDescent="0.15">
      <c r="E183" s="52"/>
    </row>
    <row r="184" spans="5:5" ht="13" x14ac:dyDescent="0.15">
      <c r="E184" s="52"/>
    </row>
    <row r="185" spans="5:5" ht="13" x14ac:dyDescent="0.15">
      <c r="E185" s="52"/>
    </row>
    <row r="186" spans="5:5" ht="13" x14ac:dyDescent="0.15">
      <c r="E186" s="52"/>
    </row>
    <row r="187" spans="5:5" ht="13" x14ac:dyDescent="0.15">
      <c r="E187" s="52"/>
    </row>
    <row r="188" spans="5:5" ht="13" x14ac:dyDescent="0.15">
      <c r="E188" s="52"/>
    </row>
    <row r="189" spans="5:5" ht="13" x14ac:dyDescent="0.15">
      <c r="E189" s="52"/>
    </row>
    <row r="190" spans="5:5" ht="13" x14ac:dyDescent="0.15">
      <c r="E190" s="52"/>
    </row>
    <row r="191" spans="5:5" ht="13" x14ac:dyDescent="0.15">
      <c r="E191" s="52"/>
    </row>
    <row r="192" spans="5:5" ht="13" x14ac:dyDescent="0.15">
      <c r="E192" s="52"/>
    </row>
    <row r="193" spans="5:5" ht="13" x14ac:dyDescent="0.15">
      <c r="E193" s="52"/>
    </row>
    <row r="194" spans="5:5" ht="13" x14ac:dyDescent="0.15">
      <c r="E194" s="52"/>
    </row>
    <row r="195" spans="5:5" ht="13" x14ac:dyDescent="0.15">
      <c r="E195" s="52"/>
    </row>
    <row r="196" spans="5:5" ht="13" x14ac:dyDescent="0.15">
      <c r="E196" s="52"/>
    </row>
    <row r="197" spans="5:5" ht="13" x14ac:dyDescent="0.15">
      <c r="E197" s="52"/>
    </row>
    <row r="198" spans="5:5" ht="13" x14ac:dyDescent="0.15">
      <c r="E198" s="52"/>
    </row>
    <row r="199" spans="5:5" ht="13" x14ac:dyDescent="0.15">
      <c r="E199" s="52"/>
    </row>
    <row r="200" spans="5:5" ht="13" x14ac:dyDescent="0.15">
      <c r="E200" s="52"/>
    </row>
    <row r="201" spans="5:5" ht="13" x14ac:dyDescent="0.15">
      <c r="E201" s="52"/>
    </row>
    <row r="202" spans="5:5" ht="13" x14ac:dyDescent="0.15">
      <c r="E202" s="52"/>
    </row>
    <row r="203" spans="5:5" ht="13" x14ac:dyDescent="0.15">
      <c r="E203" s="52"/>
    </row>
    <row r="204" spans="5:5" ht="13" x14ac:dyDescent="0.15">
      <c r="E204" s="52"/>
    </row>
    <row r="205" spans="5:5" ht="13" x14ac:dyDescent="0.15">
      <c r="E205" s="52"/>
    </row>
    <row r="206" spans="5:5" ht="13" x14ac:dyDescent="0.15">
      <c r="E206" s="52"/>
    </row>
    <row r="207" spans="5:5" ht="13" x14ac:dyDescent="0.15">
      <c r="E207" s="52"/>
    </row>
    <row r="208" spans="5:5" ht="13" x14ac:dyDescent="0.15">
      <c r="E208" s="52"/>
    </row>
    <row r="209" spans="5:5" ht="13" x14ac:dyDescent="0.15">
      <c r="E209" s="52"/>
    </row>
    <row r="210" spans="5:5" ht="13" x14ac:dyDescent="0.15">
      <c r="E210" s="52"/>
    </row>
    <row r="211" spans="5:5" ht="13" x14ac:dyDescent="0.15">
      <c r="E211" s="52"/>
    </row>
    <row r="212" spans="5:5" ht="13" x14ac:dyDescent="0.15">
      <c r="E212" s="52"/>
    </row>
    <row r="213" spans="5:5" ht="13" x14ac:dyDescent="0.15">
      <c r="E213" s="52"/>
    </row>
    <row r="214" spans="5:5" ht="13" x14ac:dyDescent="0.15">
      <c r="E214" s="52"/>
    </row>
    <row r="215" spans="5:5" ht="13" x14ac:dyDescent="0.15">
      <c r="E215" s="52"/>
    </row>
    <row r="216" spans="5:5" ht="13" x14ac:dyDescent="0.15">
      <c r="E216" s="52"/>
    </row>
    <row r="217" spans="5:5" ht="13" x14ac:dyDescent="0.15">
      <c r="E217" s="52"/>
    </row>
    <row r="218" spans="5:5" ht="13" x14ac:dyDescent="0.15">
      <c r="E218" s="52"/>
    </row>
    <row r="219" spans="5:5" ht="13" x14ac:dyDescent="0.15">
      <c r="E219" s="52"/>
    </row>
    <row r="220" spans="5:5" ht="13" x14ac:dyDescent="0.15">
      <c r="E220" s="52"/>
    </row>
    <row r="221" spans="5:5" ht="13" x14ac:dyDescent="0.15">
      <c r="E221" s="52"/>
    </row>
    <row r="222" spans="5:5" ht="13" x14ac:dyDescent="0.15">
      <c r="E222" s="52"/>
    </row>
    <row r="223" spans="5:5" ht="13" x14ac:dyDescent="0.15">
      <c r="E223" s="52"/>
    </row>
    <row r="224" spans="5:5" ht="13" x14ac:dyDescent="0.15">
      <c r="E224" s="52"/>
    </row>
    <row r="225" spans="5:5" ht="13" x14ac:dyDescent="0.15">
      <c r="E225" s="52"/>
    </row>
    <row r="226" spans="5:5" ht="13" x14ac:dyDescent="0.15">
      <c r="E226" s="52"/>
    </row>
    <row r="227" spans="5:5" ht="13" x14ac:dyDescent="0.15">
      <c r="E227" s="52"/>
    </row>
    <row r="228" spans="5:5" ht="13" x14ac:dyDescent="0.15">
      <c r="E228" s="52"/>
    </row>
    <row r="229" spans="5:5" ht="13" x14ac:dyDescent="0.15">
      <c r="E229" s="52"/>
    </row>
    <row r="230" spans="5:5" ht="13" x14ac:dyDescent="0.15">
      <c r="E230" s="52"/>
    </row>
    <row r="231" spans="5:5" ht="13" x14ac:dyDescent="0.15">
      <c r="E231" s="52"/>
    </row>
    <row r="232" spans="5:5" ht="13" x14ac:dyDescent="0.15">
      <c r="E232" s="52"/>
    </row>
    <row r="233" spans="5:5" ht="13" x14ac:dyDescent="0.15">
      <c r="E233" s="52"/>
    </row>
    <row r="234" spans="5:5" ht="13" x14ac:dyDescent="0.15">
      <c r="E234" s="52"/>
    </row>
    <row r="235" spans="5:5" ht="13" x14ac:dyDescent="0.15">
      <c r="E235" s="52"/>
    </row>
    <row r="236" spans="5:5" ht="13" x14ac:dyDescent="0.15">
      <c r="E236" s="52"/>
    </row>
    <row r="237" spans="5:5" ht="13" x14ac:dyDescent="0.15">
      <c r="E237" s="52"/>
    </row>
    <row r="238" spans="5:5" ht="13" x14ac:dyDescent="0.15">
      <c r="E238" s="52"/>
    </row>
    <row r="239" spans="5:5" ht="13" x14ac:dyDescent="0.15">
      <c r="E239" s="52"/>
    </row>
    <row r="240" spans="5:5" ht="13" x14ac:dyDescent="0.15">
      <c r="E240" s="52"/>
    </row>
    <row r="241" spans="5:5" ht="13" x14ac:dyDescent="0.15">
      <c r="E241" s="52"/>
    </row>
    <row r="242" spans="5:5" ht="13" x14ac:dyDescent="0.15">
      <c r="E242" s="52"/>
    </row>
    <row r="243" spans="5:5" ht="13" x14ac:dyDescent="0.15">
      <c r="E243" s="52"/>
    </row>
    <row r="244" spans="5:5" ht="13" x14ac:dyDescent="0.15">
      <c r="E244" s="52"/>
    </row>
    <row r="245" spans="5:5" ht="13" x14ac:dyDescent="0.15">
      <c r="E245" s="52"/>
    </row>
    <row r="246" spans="5:5" ht="13" x14ac:dyDescent="0.15">
      <c r="E246" s="52"/>
    </row>
    <row r="247" spans="5:5" ht="13" x14ac:dyDescent="0.15">
      <c r="E247" s="52"/>
    </row>
    <row r="248" spans="5:5" ht="13" x14ac:dyDescent="0.15">
      <c r="E248" s="52"/>
    </row>
    <row r="249" spans="5:5" ht="13" x14ac:dyDescent="0.15">
      <c r="E249" s="52"/>
    </row>
    <row r="250" spans="5:5" ht="13" x14ac:dyDescent="0.15">
      <c r="E250" s="52"/>
    </row>
    <row r="251" spans="5:5" ht="13" x14ac:dyDescent="0.15">
      <c r="E251" s="52"/>
    </row>
    <row r="252" spans="5:5" ht="13" x14ac:dyDescent="0.15">
      <c r="E252" s="52"/>
    </row>
    <row r="253" spans="5:5" ht="13" x14ac:dyDescent="0.15">
      <c r="E253" s="52"/>
    </row>
    <row r="254" spans="5:5" ht="13" x14ac:dyDescent="0.15">
      <c r="E254" s="52"/>
    </row>
    <row r="255" spans="5:5" ht="13" x14ac:dyDescent="0.15">
      <c r="E255" s="52"/>
    </row>
    <row r="256" spans="5:5" ht="13" x14ac:dyDescent="0.15">
      <c r="E256" s="52"/>
    </row>
    <row r="257" spans="5:5" ht="13" x14ac:dyDescent="0.15">
      <c r="E257" s="52"/>
    </row>
    <row r="258" spans="5:5" ht="13" x14ac:dyDescent="0.15">
      <c r="E258" s="52"/>
    </row>
    <row r="259" spans="5:5" ht="13" x14ac:dyDescent="0.15">
      <c r="E259" s="52"/>
    </row>
    <row r="260" spans="5:5" ht="13" x14ac:dyDescent="0.15">
      <c r="E260" s="52"/>
    </row>
    <row r="261" spans="5:5" ht="13" x14ac:dyDescent="0.15">
      <c r="E261" s="52"/>
    </row>
    <row r="262" spans="5:5" ht="13" x14ac:dyDescent="0.15">
      <c r="E262" s="52"/>
    </row>
    <row r="263" spans="5:5" ht="13" x14ac:dyDescent="0.15">
      <c r="E263" s="52"/>
    </row>
    <row r="264" spans="5:5" ht="13" x14ac:dyDescent="0.15">
      <c r="E264" s="52"/>
    </row>
    <row r="265" spans="5:5" ht="13" x14ac:dyDescent="0.15">
      <c r="E265" s="52"/>
    </row>
    <row r="266" spans="5:5" ht="13" x14ac:dyDescent="0.15">
      <c r="E266" s="52"/>
    </row>
    <row r="267" spans="5:5" ht="13" x14ac:dyDescent="0.15">
      <c r="E267" s="52"/>
    </row>
    <row r="268" spans="5:5" ht="13" x14ac:dyDescent="0.15">
      <c r="E268" s="52"/>
    </row>
    <row r="269" spans="5:5" ht="13" x14ac:dyDescent="0.15">
      <c r="E269" s="52"/>
    </row>
    <row r="270" spans="5:5" ht="13" x14ac:dyDescent="0.15">
      <c r="E270" s="52"/>
    </row>
    <row r="271" spans="5:5" ht="13" x14ac:dyDescent="0.15">
      <c r="E271" s="52"/>
    </row>
    <row r="272" spans="5:5" ht="13" x14ac:dyDescent="0.15">
      <c r="E272" s="52"/>
    </row>
    <row r="273" spans="5:5" ht="13" x14ac:dyDescent="0.15">
      <c r="E273" s="52"/>
    </row>
    <row r="274" spans="5:5" ht="13" x14ac:dyDescent="0.15">
      <c r="E274" s="52"/>
    </row>
    <row r="275" spans="5:5" ht="13" x14ac:dyDescent="0.15">
      <c r="E275" s="52"/>
    </row>
    <row r="276" spans="5:5" ht="13" x14ac:dyDescent="0.15">
      <c r="E276" s="52"/>
    </row>
    <row r="277" spans="5:5" ht="13" x14ac:dyDescent="0.15">
      <c r="E277" s="52"/>
    </row>
    <row r="278" spans="5:5" ht="13" x14ac:dyDescent="0.15">
      <c r="E278" s="52"/>
    </row>
    <row r="279" spans="5:5" ht="13" x14ac:dyDescent="0.15">
      <c r="E279" s="52"/>
    </row>
    <row r="280" spans="5:5" ht="13" x14ac:dyDescent="0.15">
      <c r="E280" s="52"/>
    </row>
    <row r="281" spans="5:5" ht="13" x14ac:dyDescent="0.15">
      <c r="E281" s="52"/>
    </row>
    <row r="282" spans="5:5" ht="13" x14ac:dyDescent="0.15">
      <c r="E282" s="52"/>
    </row>
    <row r="283" spans="5:5" ht="13" x14ac:dyDescent="0.15">
      <c r="E283" s="52"/>
    </row>
    <row r="284" spans="5:5" ht="13" x14ac:dyDescent="0.15">
      <c r="E284" s="52"/>
    </row>
    <row r="285" spans="5:5" ht="13" x14ac:dyDescent="0.15">
      <c r="E285" s="52"/>
    </row>
    <row r="286" spans="5:5" ht="13" x14ac:dyDescent="0.15">
      <c r="E286" s="52"/>
    </row>
    <row r="287" spans="5:5" ht="13" x14ac:dyDescent="0.15">
      <c r="E287" s="52"/>
    </row>
    <row r="288" spans="5:5" ht="13" x14ac:dyDescent="0.15">
      <c r="E288" s="52"/>
    </row>
    <row r="289" spans="5:5" ht="13" x14ac:dyDescent="0.15">
      <c r="E289" s="52"/>
    </row>
    <row r="290" spans="5:5" ht="13" x14ac:dyDescent="0.15">
      <c r="E290" s="52"/>
    </row>
    <row r="291" spans="5:5" ht="13" x14ac:dyDescent="0.15">
      <c r="E291" s="52"/>
    </row>
    <row r="292" spans="5:5" ht="13" x14ac:dyDescent="0.15">
      <c r="E292" s="52"/>
    </row>
    <row r="293" spans="5:5" ht="13" x14ac:dyDescent="0.15">
      <c r="E293" s="52"/>
    </row>
    <row r="294" spans="5:5" ht="13" x14ac:dyDescent="0.15">
      <c r="E294" s="52"/>
    </row>
    <row r="295" spans="5:5" ht="13" x14ac:dyDescent="0.15">
      <c r="E295" s="52"/>
    </row>
    <row r="296" spans="5:5" ht="13" x14ac:dyDescent="0.15">
      <c r="E296" s="52"/>
    </row>
    <row r="297" spans="5:5" ht="13" x14ac:dyDescent="0.15">
      <c r="E297" s="52"/>
    </row>
    <row r="298" spans="5:5" ht="13" x14ac:dyDescent="0.15">
      <c r="E298" s="52"/>
    </row>
    <row r="299" spans="5:5" ht="13" x14ac:dyDescent="0.15">
      <c r="E299" s="52"/>
    </row>
    <row r="300" spans="5:5" ht="13" x14ac:dyDescent="0.15">
      <c r="E300" s="52"/>
    </row>
    <row r="301" spans="5:5" ht="13" x14ac:dyDescent="0.15">
      <c r="E301" s="52"/>
    </row>
    <row r="302" spans="5:5" ht="13" x14ac:dyDescent="0.15">
      <c r="E302" s="52"/>
    </row>
    <row r="303" spans="5:5" ht="13" x14ac:dyDescent="0.15">
      <c r="E303" s="52"/>
    </row>
    <row r="304" spans="5:5" ht="13" x14ac:dyDescent="0.15">
      <c r="E304" s="52"/>
    </row>
    <row r="305" spans="5:5" ht="13" x14ac:dyDescent="0.15">
      <c r="E305" s="52"/>
    </row>
    <row r="306" spans="5:5" ht="13" x14ac:dyDescent="0.15">
      <c r="E306" s="52"/>
    </row>
    <row r="307" spans="5:5" ht="13" x14ac:dyDescent="0.15">
      <c r="E307" s="52"/>
    </row>
    <row r="308" spans="5:5" ht="13" x14ac:dyDescent="0.15">
      <c r="E308" s="52"/>
    </row>
    <row r="309" spans="5:5" ht="13" x14ac:dyDescent="0.15">
      <c r="E309" s="52"/>
    </row>
    <row r="310" spans="5:5" ht="13" x14ac:dyDescent="0.15">
      <c r="E310" s="52"/>
    </row>
    <row r="311" spans="5:5" ht="13" x14ac:dyDescent="0.15">
      <c r="E311" s="52"/>
    </row>
    <row r="312" spans="5:5" ht="13" x14ac:dyDescent="0.15">
      <c r="E312" s="52"/>
    </row>
    <row r="313" spans="5:5" ht="13" x14ac:dyDescent="0.15">
      <c r="E313" s="52"/>
    </row>
    <row r="314" spans="5:5" ht="13" x14ac:dyDescent="0.15">
      <c r="E314" s="52"/>
    </row>
    <row r="315" spans="5:5" ht="13" x14ac:dyDescent="0.15">
      <c r="E315" s="52"/>
    </row>
    <row r="316" spans="5:5" ht="13" x14ac:dyDescent="0.15">
      <c r="E316" s="52"/>
    </row>
    <row r="317" spans="5:5" ht="13" x14ac:dyDescent="0.15">
      <c r="E317" s="52"/>
    </row>
    <row r="318" spans="5:5" ht="13" x14ac:dyDescent="0.15">
      <c r="E318" s="52"/>
    </row>
    <row r="319" spans="5:5" ht="13" x14ac:dyDescent="0.15">
      <c r="E319" s="52"/>
    </row>
    <row r="320" spans="5:5" ht="13" x14ac:dyDescent="0.15">
      <c r="E320" s="52"/>
    </row>
    <row r="321" spans="5:5" ht="13" x14ac:dyDescent="0.15">
      <c r="E321" s="52"/>
    </row>
    <row r="322" spans="5:5" ht="13" x14ac:dyDescent="0.15">
      <c r="E322" s="52"/>
    </row>
    <row r="323" spans="5:5" ht="13" x14ac:dyDescent="0.15">
      <c r="E323" s="52"/>
    </row>
    <row r="324" spans="5:5" ht="13" x14ac:dyDescent="0.15">
      <c r="E324" s="52"/>
    </row>
    <row r="325" spans="5:5" ht="13" x14ac:dyDescent="0.15">
      <c r="E325" s="52"/>
    </row>
    <row r="326" spans="5:5" ht="13" x14ac:dyDescent="0.15">
      <c r="E326" s="52"/>
    </row>
    <row r="327" spans="5:5" ht="13" x14ac:dyDescent="0.15">
      <c r="E327" s="52"/>
    </row>
    <row r="328" spans="5:5" ht="13" x14ac:dyDescent="0.15">
      <c r="E328" s="52"/>
    </row>
    <row r="329" spans="5:5" ht="13" x14ac:dyDescent="0.15">
      <c r="E329" s="52"/>
    </row>
    <row r="330" spans="5:5" ht="13" x14ac:dyDescent="0.15">
      <c r="E330" s="52"/>
    </row>
    <row r="331" spans="5:5" ht="13" x14ac:dyDescent="0.15">
      <c r="E331" s="52"/>
    </row>
    <row r="332" spans="5:5" ht="13" x14ac:dyDescent="0.15">
      <c r="E332" s="52"/>
    </row>
    <row r="333" spans="5:5" ht="13" x14ac:dyDescent="0.15">
      <c r="E333" s="52"/>
    </row>
    <row r="334" spans="5:5" ht="13" x14ac:dyDescent="0.15">
      <c r="E334" s="52"/>
    </row>
    <row r="335" spans="5:5" ht="13" x14ac:dyDescent="0.15">
      <c r="E335" s="52"/>
    </row>
    <row r="336" spans="5:5" ht="13" x14ac:dyDescent="0.15">
      <c r="E336" s="52"/>
    </row>
    <row r="337" spans="5:5" ht="13" x14ac:dyDescent="0.15">
      <c r="E337" s="52"/>
    </row>
    <row r="338" spans="5:5" ht="13" x14ac:dyDescent="0.15">
      <c r="E338" s="52"/>
    </row>
    <row r="339" spans="5:5" ht="13" x14ac:dyDescent="0.15">
      <c r="E339" s="52"/>
    </row>
    <row r="340" spans="5:5" ht="13" x14ac:dyDescent="0.15">
      <c r="E340" s="52"/>
    </row>
    <row r="341" spans="5:5" ht="13" x14ac:dyDescent="0.15">
      <c r="E341" s="52"/>
    </row>
    <row r="342" spans="5:5" ht="13" x14ac:dyDescent="0.15">
      <c r="E342" s="52"/>
    </row>
    <row r="343" spans="5:5" ht="13" x14ac:dyDescent="0.15">
      <c r="E343" s="52"/>
    </row>
    <row r="344" spans="5:5" ht="13" x14ac:dyDescent="0.15">
      <c r="E344" s="52"/>
    </row>
    <row r="345" spans="5:5" ht="13" x14ac:dyDescent="0.15">
      <c r="E345" s="52"/>
    </row>
    <row r="346" spans="5:5" ht="13" x14ac:dyDescent="0.15">
      <c r="E346" s="52"/>
    </row>
    <row r="347" spans="5:5" ht="13" x14ac:dyDescent="0.15">
      <c r="E347" s="52"/>
    </row>
    <row r="348" spans="5:5" ht="13" x14ac:dyDescent="0.15">
      <c r="E348" s="52"/>
    </row>
    <row r="349" spans="5:5" ht="13" x14ac:dyDescent="0.15">
      <c r="E349" s="52"/>
    </row>
    <row r="350" spans="5:5" ht="13" x14ac:dyDescent="0.15">
      <c r="E350" s="52"/>
    </row>
    <row r="351" spans="5:5" ht="13" x14ac:dyDescent="0.15">
      <c r="E351" s="52"/>
    </row>
    <row r="352" spans="5:5" ht="13" x14ac:dyDescent="0.15">
      <c r="E352" s="52"/>
    </row>
    <row r="353" spans="5:5" ht="13" x14ac:dyDescent="0.15">
      <c r="E353" s="52"/>
    </row>
    <row r="354" spans="5:5" ht="13" x14ac:dyDescent="0.15">
      <c r="E354" s="52"/>
    </row>
    <row r="355" spans="5:5" ht="13" x14ac:dyDescent="0.15">
      <c r="E355" s="52"/>
    </row>
    <row r="356" spans="5:5" ht="13" x14ac:dyDescent="0.15">
      <c r="E356" s="52"/>
    </row>
    <row r="357" spans="5:5" ht="13" x14ac:dyDescent="0.15">
      <c r="E357" s="52"/>
    </row>
    <row r="358" spans="5:5" ht="13" x14ac:dyDescent="0.15">
      <c r="E358" s="52"/>
    </row>
    <row r="359" spans="5:5" ht="13" x14ac:dyDescent="0.15">
      <c r="E359" s="52"/>
    </row>
    <row r="360" spans="5:5" ht="13" x14ac:dyDescent="0.15">
      <c r="E360" s="52"/>
    </row>
    <row r="361" spans="5:5" ht="13" x14ac:dyDescent="0.15">
      <c r="E361" s="52"/>
    </row>
    <row r="362" spans="5:5" ht="13" x14ac:dyDescent="0.15">
      <c r="E362" s="52"/>
    </row>
    <row r="363" spans="5:5" ht="13" x14ac:dyDescent="0.15">
      <c r="E363" s="52"/>
    </row>
    <row r="364" spans="5:5" ht="13" x14ac:dyDescent="0.15">
      <c r="E364" s="52"/>
    </row>
    <row r="365" spans="5:5" ht="13" x14ac:dyDescent="0.15">
      <c r="E365" s="52"/>
    </row>
    <row r="366" spans="5:5" ht="13" x14ac:dyDescent="0.15">
      <c r="E366" s="52"/>
    </row>
    <row r="367" spans="5:5" ht="13" x14ac:dyDescent="0.15">
      <c r="E367" s="52"/>
    </row>
    <row r="368" spans="5:5" ht="13" x14ac:dyDescent="0.15">
      <c r="E368" s="52"/>
    </row>
    <row r="369" spans="5:5" ht="13" x14ac:dyDescent="0.15">
      <c r="E369" s="52"/>
    </row>
    <row r="370" spans="5:5" ht="13" x14ac:dyDescent="0.15">
      <c r="E370" s="52"/>
    </row>
    <row r="371" spans="5:5" ht="13" x14ac:dyDescent="0.15">
      <c r="E371" s="52"/>
    </row>
    <row r="372" spans="5:5" ht="13" x14ac:dyDescent="0.15">
      <c r="E372" s="52"/>
    </row>
    <row r="373" spans="5:5" ht="13" x14ac:dyDescent="0.15">
      <c r="E373" s="52"/>
    </row>
    <row r="374" spans="5:5" ht="13" x14ac:dyDescent="0.15">
      <c r="E374" s="52"/>
    </row>
    <row r="375" spans="5:5" ht="13" x14ac:dyDescent="0.15">
      <c r="E375" s="52"/>
    </row>
    <row r="376" spans="5:5" ht="13" x14ac:dyDescent="0.15">
      <c r="E376" s="52"/>
    </row>
    <row r="377" spans="5:5" ht="13" x14ac:dyDescent="0.15">
      <c r="E377" s="52"/>
    </row>
    <row r="378" spans="5:5" ht="13" x14ac:dyDescent="0.15">
      <c r="E378" s="52"/>
    </row>
    <row r="379" spans="5:5" ht="13" x14ac:dyDescent="0.15">
      <c r="E379" s="52"/>
    </row>
    <row r="380" spans="5:5" ht="13" x14ac:dyDescent="0.15">
      <c r="E380" s="52"/>
    </row>
    <row r="381" spans="5:5" ht="13" x14ac:dyDescent="0.15">
      <c r="E381" s="52"/>
    </row>
    <row r="382" spans="5:5" ht="13" x14ac:dyDescent="0.15">
      <c r="E382" s="52"/>
    </row>
    <row r="383" spans="5:5" ht="13" x14ac:dyDescent="0.15">
      <c r="E383" s="52"/>
    </row>
    <row r="384" spans="5:5" ht="13" x14ac:dyDescent="0.15">
      <c r="E384" s="52"/>
    </row>
    <row r="385" spans="5:5" ht="13" x14ac:dyDescent="0.15">
      <c r="E385" s="52"/>
    </row>
    <row r="386" spans="5:5" ht="13" x14ac:dyDescent="0.15">
      <c r="E386" s="52"/>
    </row>
    <row r="387" spans="5:5" ht="13" x14ac:dyDescent="0.15">
      <c r="E387" s="52"/>
    </row>
    <row r="388" spans="5:5" ht="13" x14ac:dyDescent="0.15">
      <c r="E388" s="52"/>
    </row>
    <row r="389" spans="5:5" ht="13" x14ac:dyDescent="0.15">
      <c r="E389" s="52"/>
    </row>
    <row r="390" spans="5:5" ht="13" x14ac:dyDescent="0.15">
      <c r="E390" s="52"/>
    </row>
    <row r="391" spans="5:5" ht="13" x14ac:dyDescent="0.15">
      <c r="E391" s="52"/>
    </row>
    <row r="392" spans="5:5" ht="13" x14ac:dyDescent="0.15">
      <c r="E392" s="52"/>
    </row>
    <row r="393" spans="5:5" ht="13" x14ac:dyDescent="0.15">
      <c r="E393" s="52"/>
    </row>
    <row r="394" spans="5:5" ht="13" x14ac:dyDescent="0.15">
      <c r="E394" s="52"/>
    </row>
    <row r="395" spans="5:5" ht="13" x14ac:dyDescent="0.15">
      <c r="E395" s="52"/>
    </row>
    <row r="396" spans="5:5" ht="13" x14ac:dyDescent="0.15">
      <c r="E396" s="52"/>
    </row>
    <row r="397" spans="5:5" ht="13" x14ac:dyDescent="0.15">
      <c r="E397" s="52"/>
    </row>
    <row r="398" spans="5:5" ht="13" x14ac:dyDescent="0.15">
      <c r="E398" s="52"/>
    </row>
    <row r="399" spans="5:5" ht="13" x14ac:dyDescent="0.15">
      <c r="E399" s="52"/>
    </row>
    <row r="400" spans="5:5" ht="13" x14ac:dyDescent="0.15">
      <c r="E400" s="52"/>
    </row>
    <row r="401" spans="5:5" ht="13" x14ac:dyDescent="0.15">
      <c r="E401" s="52"/>
    </row>
    <row r="402" spans="5:5" ht="13" x14ac:dyDescent="0.15">
      <c r="E402" s="52"/>
    </row>
    <row r="403" spans="5:5" ht="13" x14ac:dyDescent="0.15">
      <c r="E403" s="52"/>
    </row>
    <row r="404" spans="5:5" ht="13" x14ac:dyDescent="0.15">
      <c r="E404" s="52"/>
    </row>
    <row r="405" spans="5:5" ht="13" x14ac:dyDescent="0.15">
      <c r="E405" s="52"/>
    </row>
    <row r="406" spans="5:5" ht="13" x14ac:dyDescent="0.15">
      <c r="E406" s="52"/>
    </row>
    <row r="407" spans="5:5" ht="13" x14ac:dyDescent="0.15">
      <c r="E407" s="52"/>
    </row>
    <row r="408" spans="5:5" ht="13" x14ac:dyDescent="0.15">
      <c r="E408" s="52"/>
    </row>
    <row r="409" spans="5:5" ht="13" x14ac:dyDescent="0.15">
      <c r="E409" s="52"/>
    </row>
    <row r="410" spans="5:5" ht="13" x14ac:dyDescent="0.15">
      <c r="E410" s="52"/>
    </row>
    <row r="411" spans="5:5" ht="13" x14ac:dyDescent="0.15">
      <c r="E411" s="52"/>
    </row>
    <row r="412" spans="5:5" ht="13" x14ac:dyDescent="0.15">
      <c r="E412" s="52"/>
    </row>
    <row r="413" spans="5:5" ht="13" x14ac:dyDescent="0.15">
      <c r="E413" s="52"/>
    </row>
    <row r="414" spans="5:5" ht="13" x14ac:dyDescent="0.15">
      <c r="E414" s="52"/>
    </row>
    <row r="415" spans="5:5" ht="13" x14ac:dyDescent="0.15">
      <c r="E415" s="52"/>
    </row>
    <row r="416" spans="5:5" ht="13" x14ac:dyDescent="0.15">
      <c r="E416" s="52"/>
    </row>
    <row r="417" spans="5:5" ht="13" x14ac:dyDescent="0.15">
      <c r="E417" s="52"/>
    </row>
    <row r="418" spans="5:5" ht="13" x14ac:dyDescent="0.15">
      <c r="E418" s="52"/>
    </row>
    <row r="419" spans="5:5" ht="13" x14ac:dyDescent="0.15">
      <c r="E419" s="52"/>
    </row>
    <row r="420" spans="5:5" ht="13" x14ac:dyDescent="0.15">
      <c r="E420" s="52"/>
    </row>
    <row r="421" spans="5:5" ht="13" x14ac:dyDescent="0.15">
      <c r="E421" s="52"/>
    </row>
    <row r="422" spans="5:5" ht="13" x14ac:dyDescent="0.15">
      <c r="E422" s="52"/>
    </row>
    <row r="423" spans="5:5" ht="13" x14ac:dyDescent="0.15">
      <c r="E423" s="52"/>
    </row>
    <row r="424" spans="5:5" ht="13" x14ac:dyDescent="0.15">
      <c r="E424" s="52"/>
    </row>
    <row r="425" spans="5:5" ht="13" x14ac:dyDescent="0.15">
      <c r="E425" s="52"/>
    </row>
    <row r="426" spans="5:5" ht="13" x14ac:dyDescent="0.15">
      <c r="E426" s="52"/>
    </row>
    <row r="427" spans="5:5" ht="13" x14ac:dyDescent="0.15">
      <c r="E427" s="52"/>
    </row>
    <row r="428" spans="5:5" ht="13" x14ac:dyDescent="0.15">
      <c r="E428" s="52"/>
    </row>
    <row r="429" spans="5:5" ht="13" x14ac:dyDescent="0.15">
      <c r="E429" s="52"/>
    </row>
    <row r="430" spans="5:5" ht="13" x14ac:dyDescent="0.15">
      <c r="E430" s="52"/>
    </row>
    <row r="431" spans="5:5" ht="13" x14ac:dyDescent="0.15">
      <c r="E431" s="52"/>
    </row>
    <row r="432" spans="5:5" ht="13" x14ac:dyDescent="0.15">
      <c r="E432" s="52"/>
    </row>
    <row r="433" spans="5:5" ht="13" x14ac:dyDescent="0.15">
      <c r="E433" s="52"/>
    </row>
    <row r="434" spans="5:5" ht="13" x14ac:dyDescent="0.15">
      <c r="E434" s="52"/>
    </row>
    <row r="435" spans="5:5" ht="13" x14ac:dyDescent="0.15">
      <c r="E435" s="52"/>
    </row>
    <row r="436" spans="5:5" ht="13" x14ac:dyDescent="0.15">
      <c r="E436" s="52"/>
    </row>
    <row r="437" spans="5:5" ht="13" x14ac:dyDescent="0.15">
      <c r="E437" s="52"/>
    </row>
    <row r="438" spans="5:5" ht="13" x14ac:dyDescent="0.15">
      <c r="E438" s="52"/>
    </row>
    <row r="439" spans="5:5" ht="13" x14ac:dyDescent="0.15">
      <c r="E439" s="52"/>
    </row>
    <row r="440" spans="5:5" ht="13" x14ac:dyDescent="0.15">
      <c r="E440" s="52"/>
    </row>
    <row r="441" spans="5:5" ht="13" x14ac:dyDescent="0.15">
      <c r="E441" s="52"/>
    </row>
    <row r="442" spans="5:5" ht="13" x14ac:dyDescent="0.15">
      <c r="E442" s="52"/>
    </row>
    <row r="443" spans="5:5" ht="13" x14ac:dyDescent="0.15">
      <c r="E443" s="52"/>
    </row>
    <row r="444" spans="5:5" ht="13" x14ac:dyDescent="0.15">
      <c r="E444" s="52"/>
    </row>
    <row r="445" spans="5:5" ht="13" x14ac:dyDescent="0.15">
      <c r="E445" s="52"/>
    </row>
    <row r="446" spans="5:5" ht="13" x14ac:dyDescent="0.15">
      <c r="E446" s="52"/>
    </row>
    <row r="447" spans="5:5" ht="13" x14ac:dyDescent="0.15">
      <c r="E447" s="52"/>
    </row>
    <row r="448" spans="5:5" ht="13" x14ac:dyDescent="0.15">
      <c r="E448" s="52"/>
    </row>
    <row r="449" spans="5:5" ht="13" x14ac:dyDescent="0.15">
      <c r="E449" s="52"/>
    </row>
    <row r="450" spans="5:5" ht="13" x14ac:dyDescent="0.15">
      <c r="E450" s="52"/>
    </row>
    <row r="451" spans="5:5" ht="13" x14ac:dyDescent="0.15">
      <c r="E451" s="52"/>
    </row>
    <row r="452" spans="5:5" ht="13" x14ac:dyDescent="0.15">
      <c r="E452" s="52"/>
    </row>
    <row r="453" spans="5:5" ht="13" x14ac:dyDescent="0.15">
      <c r="E453" s="52"/>
    </row>
    <row r="454" spans="5:5" ht="13" x14ac:dyDescent="0.15">
      <c r="E454" s="52"/>
    </row>
    <row r="455" spans="5:5" ht="13" x14ac:dyDescent="0.15">
      <c r="E455" s="52"/>
    </row>
    <row r="456" spans="5:5" ht="13" x14ac:dyDescent="0.15">
      <c r="E456" s="52"/>
    </row>
    <row r="457" spans="5:5" ht="13" x14ac:dyDescent="0.15">
      <c r="E457" s="52"/>
    </row>
    <row r="458" spans="5:5" ht="13" x14ac:dyDescent="0.15">
      <c r="E458" s="52"/>
    </row>
    <row r="459" spans="5:5" ht="13" x14ac:dyDescent="0.15">
      <c r="E459" s="52"/>
    </row>
    <row r="460" spans="5:5" ht="13" x14ac:dyDescent="0.15">
      <c r="E460" s="52"/>
    </row>
    <row r="461" spans="5:5" ht="13" x14ac:dyDescent="0.15">
      <c r="E461" s="52"/>
    </row>
    <row r="462" spans="5:5" ht="13" x14ac:dyDescent="0.15">
      <c r="E462" s="52"/>
    </row>
    <row r="463" spans="5:5" ht="13" x14ac:dyDescent="0.15">
      <c r="E463" s="52"/>
    </row>
    <row r="464" spans="5:5" ht="13" x14ac:dyDescent="0.15">
      <c r="E464" s="52"/>
    </row>
    <row r="465" spans="5:5" ht="13" x14ac:dyDescent="0.15">
      <c r="E465" s="52"/>
    </row>
    <row r="466" spans="5:5" ht="13" x14ac:dyDescent="0.15">
      <c r="E466" s="52"/>
    </row>
    <row r="467" spans="5:5" ht="13" x14ac:dyDescent="0.15">
      <c r="E467" s="52"/>
    </row>
    <row r="468" spans="5:5" ht="13" x14ac:dyDescent="0.15">
      <c r="E468" s="52"/>
    </row>
    <row r="469" spans="5:5" ht="13" x14ac:dyDescent="0.15">
      <c r="E469" s="52"/>
    </row>
    <row r="470" spans="5:5" ht="13" x14ac:dyDescent="0.15">
      <c r="E470" s="52"/>
    </row>
    <row r="471" spans="5:5" ht="13" x14ac:dyDescent="0.15">
      <c r="E471" s="52"/>
    </row>
    <row r="472" spans="5:5" ht="13" x14ac:dyDescent="0.15">
      <c r="E472" s="52"/>
    </row>
    <row r="473" spans="5:5" ht="13" x14ac:dyDescent="0.15">
      <c r="E473" s="52"/>
    </row>
    <row r="474" spans="5:5" ht="13" x14ac:dyDescent="0.15">
      <c r="E474" s="52"/>
    </row>
    <row r="475" spans="5:5" ht="13" x14ac:dyDescent="0.15">
      <c r="E475" s="52"/>
    </row>
    <row r="476" spans="5:5" ht="13" x14ac:dyDescent="0.15">
      <c r="E476" s="52"/>
    </row>
    <row r="477" spans="5:5" ht="13" x14ac:dyDescent="0.15">
      <c r="E477" s="52"/>
    </row>
    <row r="478" spans="5:5" ht="13" x14ac:dyDescent="0.15">
      <c r="E478" s="52"/>
    </row>
    <row r="479" spans="5:5" ht="13" x14ac:dyDescent="0.15">
      <c r="E479" s="52"/>
    </row>
    <row r="480" spans="5:5" ht="13" x14ac:dyDescent="0.15">
      <c r="E480" s="52"/>
    </row>
    <row r="481" spans="5:5" ht="13" x14ac:dyDescent="0.15">
      <c r="E481" s="52"/>
    </row>
    <row r="482" spans="5:5" ht="13" x14ac:dyDescent="0.15">
      <c r="E482" s="52"/>
    </row>
    <row r="483" spans="5:5" ht="13" x14ac:dyDescent="0.15">
      <c r="E483" s="52"/>
    </row>
    <row r="484" spans="5:5" ht="13" x14ac:dyDescent="0.15">
      <c r="E484" s="52"/>
    </row>
    <row r="485" spans="5:5" ht="13" x14ac:dyDescent="0.15">
      <c r="E485" s="52"/>
    </row>
    <row r="486" spans="5:5" ht="13" x14ac:dyDescent="0.15">
      <c r="E486" s="52"/>
    </row>
    <row r="487" spans="5:5" ht="13" x14ac:dyDescent="0.15">
      <c r="E487" s="52"/>
    </row>
    <row r="488" spans="5:5" ht="13" x14ac:dyDescent="0.15">
      <c r="E488" s="52"/>
    </row>
    <row r="489" spans="5:5" ht="13" x14ac:dyDescent="0.15">
      <c r="E489" s="52"/>
    </row>
    <row r="490" spans="5:5" ht="13" x14ac:dyDescent="0.15">
      <c r="E490" s="52"/>
    </row>
    <row r="491" spans="5:5" ht="13" x14ac:dyDescent="0.15">
      <c r="E491" s="52"/>
    </row>
    <row r="492" spans="5:5" ht="13" x14ac:dyDescent="0.15">
      <c r="E492" s="52"/>
    </row>
    <row r="493" spans="5:5" ht="13" x14ac:dyDescent="0.15">
      <c r="E493" s="52"/>
    </row>
    <row r="494" spans="5:5" ht="13" x14ac:dyDescent="0.15">
      <c r="E494" s="52"/>
    </row>
    <row r="495" spans="5:5" ht="13" x14ac:dyDescent="0.15">
      <c r="E495" s="52"/>
    </row>
    <row r="496" spans="5:5" ht="13" x14ac:dyDescent="0.15">
      <c r="E496" s="52"/>
    </row>
    <row r="497" spans="5:5" ht="13" x14ac:dyDescent="0.15">
      <c r="E497" s="52"/>
    </row>
    <row r="498" spans="5:5" ht="13" x14ac:dyDescent="0.15">
      <c r="E498" s="52"/>
    </row>
    <row r="499" spans="5:5" ht="13" x14ac:dyDescent="0.15">
      <c r="E499" s="52"/>
    </row>
    <row r="500" spans="5:5" ht="13" x14ac:dyDescent="0.15">
      <c r="E500" s="52"/>
    </row>
    <row r="501" spans="5:5" ht="13" x14ac:dyDescent="0.15">
      <c r="E501" s="52"/>
    </row>
    <row r="502" spans="5:5" ht="13" x14ac:dyDescent="0.15">
      <c r="E502" s="52"/>
    </row>
    <row r="503" spans="5:5" ht="13" x14ac:dyDescent="0.15">
      <c r="E503" s="52"/>
    </row>
    <row r="504" spans="5:5" ht="13" x14ac:dyDescent="0.15">
      <c r="E504" s="52"/>
    </row>
    <row r="505" spans="5:5" ht="13" x14ac:dyDescent="0.15">
      <c r="E505" s="52"/>
    </row>
    <row r="506" spans="5:5" ht="13" x14ac:dyDescent="0.15">
      <c r="E506" s="52"/>
    </row>
    <row r="507" spans="5:5" ht="13" x14ac:dyDescent="0.15">
      <c r="E507" s="52"/>
    </row>
    <row r="508" spans="5:5" ht="13" x14ac:dyDescent="0.15">
      <c r="E508" s="52"/>
    </row>
    <row r="509" spans="5:5" ht="13" x14ac:dyDescent="0.15">
      <c r="E509" s="52"/>
    </row>
    <row r="510" spans="5:5" ht="13" x14ac:dyDescent="0.15">
      <c r="E510" s="52"/>
    </row>
    <row r="511" spans="5:5" ht="13" x14ac:dyDescent="0.15">
      <c r="E511" s="52"/>
    </row>
    <row r="512" spans="5:5" ht="13" x14ac:dyDescent="0.15">
      <c r="E512" s="52"/>
    </row>
    <row r="513" spans="5:5" ht="13" x14ac:dyDescent="0.15">
      <c r="E513" s="52"/>
    </row>
    <row r="514" spans="5:5" ht="13" x14ac:dyDescent="0.15">
      <c r="E514" s="52"/>
    </row>
    <row r="515" spans="5:5" ht="13" x14ac:dyDescent="0.15">
      <c r="E515" s="52"/>
    </row>
    <row r="516" spans="5:5" ht="13" x14ac:dyDescent="0.15">
      <c r="E516" s="52"/>
    </row>
    <row r="517" spans="5:5" ht="13" x14ac:dyDescent="0.15">
      <c r="E517" s="52"/>
    </row>
    <row r="518" spans="5:5" ht="13" x14ac:dyDescent="0.15">
      <c r="E518" s="52"/>
    </row>
    <row r="519" spans="5:5" ht="13" x14ac:dyDescent="0.15">
      <c r="E519" s="52"/>
    </row>
    <row r="520" spans="5:5" ht="13" x14ac:dyDescent="0.15">
      <c r="E520" s="52"/>
    </row>
    <row r="521" spans="5:5" ht="13" x14ac:dyDescent="0.15">
      <c r="E521" s="52"/>
    </row>
    <row r="522" spans="5:5" ht="13" x14ac:dyDescent="0.15">
      <c r="E522" s="52"/>
    </row>
    <row r="523" spans="5:5" ht="13" x14ac:dyDescent="0.15">
      <c r="E523" s="52"/>
    </row>
    <row r="524" spans="5:5" ht="13" x14ac:dyDescent="0.15">
      <c r="E524" s="52"/>
    </row>
    <row r="525" spans="5:5" ht="13" x14ac:dyDescent="0.15">
      <c r="E525" s="52"/>
    </row>
    <row r="526" spans="5:5" ht="13" x14ac:dyDescent="0.15">
      <c r="E526" s="52"/>
    </row>
    <row r="527" spans="5:5" ht="13" x14ac:dyDescent="0.15">
      <c r="E527" s="52"/>
    </row>
    <row r="528" spans="5:5" ht="13" x14ac:dyDescent="0.15">
      <c r="E528" s="52"/>
    </row>
    <row r="529" spans="5:5" ht="13" x14ac:dyDescent="0.15">
      <c r="E529" s="52"/>
    </row>
    <row r="530" spans="5:5" ht="13" x14ac:dyDescent="0.15">
      <c r="E530" s="52"/>
    </row>
    <row r="531" spans="5:5" ht="13" x14ac:dyDescent="0.15">
      <c r="E531" s="52"/>
    </row>
    <row r="532" spans="5:5" ht="13" x14ac:dyDescent="0.15">
      <c r="E532" s="52"/>
    </row>
    <row r="533" spans="5:5" ht="13" x14ac:dyDescent="0.15">
      <c r="E533" s="52"/>
    </row>
    <row r="534" spans="5:5" ht="13" x14ac:dyDescent="0.15">
      <c r="E534" s="52"/>
    </row>
    <row r="535" spans="5:5" ht="13" x14ac:dyDescent="0.15">
      <c r="E535" s="52"/>
    </row>
    <row r="536" spans="5:5" ht="13" x14ac:dyDescent="0.15">
      <c r="E536" s="52"/>
    </row>
    <row r="537" spans="5:5" ht="13" x14ac:dyDescent="0.15">
      <c r="E537" s="52"/>
    </row>
    <row r="538" spans="5:5" ht="13" x14ac:dyDescent="0.15">
      <c r="E538" s="52"/>
    </row>
    <row r="539" spans="5:5" ht="13" x14ac:dyDescent="0.15">
      <c r="E539" s="52"/>
    </row>
    <row r="540" spans="5:5" ht="13" x14ac:dyDescent="0.15">
      <c r="E540" s="52"/>
    </row>
    <row r="541" spans="5:5" ht="13" x14ac:dyDescent="0.15">
      <c r="E541" s="52"/>
    </row>
    <row r="542" spans="5:5" ht="13" x14ac:dyDescent="0.15">
      <c r="E542" s="52"/>
    </row>
    <row r="543" spans="5:5" ht="13" x14ac:dyDescent="0.15">
      <c r="E543" s="52"/>
    </row>
    <row r="544" spans="5:5" ht="13" x14ac:dyDescent="0.15">
      <c r="E544" s="52"/>
    </row>
    <row r="545" spans="5:5" ht="13" x14ac:dyDescent="0.15">
      <c r="E545" s="52"/>
    </row>
    <row r="546" spans="5:5" ht="13" x14ac:dyDescent="0.15">
      <c r="E546" s="52"/>
    </row>
    <row r="547" spans="5:5" ht="13" x14ac:dyDescent="0.15">
      <c r="E547" s="52"/>
    </row>
    <row r="548" spans="5:5" ht="13" x14ac:dyDescent="0.15">
      <c r="E548" s="52"/>
    </row>
    <row r="549" spans="5:5" ht="13" x14ac:dyDescent="0.15">
      <c r="E549" s="52"/>
    </row>
    <row r="550" spans="5:5" ht="13" x14ac:dyDescent="0.15">
      <c r="E550" s="52"/>
    </row>
    <row r="551" spans="5:5" ht="13" x14ac:dyDescent="0.15">
      <c r="E551" s="52"/>
    </row>
    <row r="552" spans="5:5" ht="13" x14ac:dyDescent="0.15">
      <c r="E552" s="52"/>
    </row>
    <row r="553" spans="5:5" ht="13" x14ac:dyDescent="0.15">
      <c r="E553" s="52"/>
    </row>
    <row r="554" spans="5:5" ht="13" x14ac:dyDescent="0.15">
      <c r="E554" s="52"/>
    </row>
    <row r="555" spans="5:5" ht="13" x14ac:dyDescent="0.15">
      <c r="E555" s="52"/>
    </row>
    <row r="556" spans="5:5" ht="13" x14ac:dyDescent="0.15">
      <c r="E556" s="52"/>
    </row>
    <row r="557" spans="5:5" ht="13" x14ac:dyDescent="0.15">
      <c r="E557" s="52"/>
    </row>
    <row r="558" spans="5:5" ht="13" x14ac:dyDescent="0.15">
      <c r="E558" s="52"/>
    </row>
    <row r="559" spans="5:5" ht="13" x14ac:dyDescent="0.15">
      <c r="E559" s="52"/>
    </row>
    <row r="560" spans="5:5" ht="13" x14ac:dyDescent="0.15">
      <c r="E560" s="52"/>
    </row>
    <row r="561" spans="5:5" ht="13" x14ac:dyDescent="0.15">
      <c r="E561" s="52"/>
    </row>
    <row r="562" spans="5:5" ht="13" x14ac:dyDescent="0.15">
      <c r="E562" s="52"/>
    </row>
    <row r="563" spans="5:5" ht="13" x14ac:dyDescent="0.15">
      <c r="E563" s="52"/>
    </row>
    <row r="564" spans="5:5" ht="13" x14ac:dyDescent="0.15">
      <c r="E564" s="52"/>
    </row>
    <row r="565" spans="5:5" ht="13" x14ac:dyDescent="0.15">
      <c r="E565" s="52"/>
    </row>
    <row r="566" spans="5:5" ht="13" x14ac:dyDescent="0.15">
      <c r="E566" s="52"/>
    </row>
    <row r="567" spans="5:5" ht="13" x14ac:dyDescent="0.15">
      <c r="E567" s="52"/>
    </row>
    <row r="568" spans="5:5" ht="13" x14ac:dyDescent="0.15">
      <c r="E568" s="52"/>
    </row>
    <row r="569" spans="5:5" ht="13" x14ac:dyDescent="0.15">
      <c r="E569" s="52"/>
    </row>
    <row r="570" spans="5:5" ht="13" x14ac:dyDescent="0.15">
      <c r="E570" s="52"/>
    </row>
    <row r="571" spans="5:5" ht="13" x14ac:dyDescent="0.15">
      <c r="E571" s="52"/>
    </row>
    <row r="572" spans="5:5" ht="13" x14ac:dyDescent="0.15">
      <c r="E572" s="52"/>
    </row>
    <row r="573" spans="5:5" ht="13" x14ac:dyDescent="0.15">
      <c r="E573" s="52"/>
    </row>
    <row r="574" spans="5:5" ht="13" x14ac:dyDescent="0.15">
      <c r="E574" s="52"/>
    </row>
    <row r="575" spans="5:5" ht="13" x14ac:dyDescent="0.15">
      <c r="E575" s="52"/>
    </row>
    <row r="576" spans="5:5" ht="13" x14ac:dyDescent="0.15">
      <c r="E576" s="52"/>
    </row>
    <row r="577" spans="5:5" ht="13" x14ac:dyDescent="0.15">
      <c r="E577" s="52"/>
    </row>
    <row r="578" spans="5:5" ht="13" x14ac:dyDescent="0.15">
      <c r="E578" s="52"/>
    </row>
    <row r="579" spans="5:5" ht="13" x14ac:dyDescent="0.15">
      <c r="E579" s="52"/>
    </row>
    <row r="580" spans="5:5" ht="13" x14ac:dyDescent="0.15">
      <c r="E580" s="52"/>
    </row>
    <row r="581" spans="5:5" ht="13" x14ac:dyDescent="0.15">
      <c r="E581" s="52"/>
    </row>
    <row r="582" spans="5:5" ht="13" x14ac:dyDescent="0.15">
      <c r="E582" s="52"/>
    </row>
    <row r="583" spans="5:5" ht="13" x14ac:dyDescent="0.15">
      <c r="E583" s="52"/>
    </row>
    <row r="584" spans="5:5" ht="13" x14ac:dyDescent="0.15">
      <c r="E584" s="52"/>
    </row>
    <row r="585" spans="5:5" ht="13" x14ac:dyDescent="0.15">
      <c r="E585" s="52"/>
    </row>
    <row r="586" spans="5:5" ht="13" x14ac:dyDescent="0.15">
      <c r="E586" s="52"/>
    </row>
    <row r="587" spans="5:5" ht="13" x14ac:dyDescent="0.15">
      <c r="E587" s="52"/>
    </row>
    <row r="588" spans="5:5" ht="13" x14ac:dyDescent="0.15">
      <c r="E588" s="52"/>
    </row>
    <row r="589" spans="5:5" ht="13" x14ac:dyDescent="0.15">
      <c r="E589" s="52"/>
    </row>
    <row r="590" spans="5:5" ht="13" x14ac:dyDescent="0.15">
      <c r="E590" s="52"/>
    </row>
    <row r="591" spans="5:5" ht="13" x14ac:dyDescent="0.15">
      <c r="E591" s="52"/>
    </row>
    <row r="592" spans="5:5" ht="13" x14ac:dyDescent="0.15">
      <c r="E592" s="52"/>
    </row>
    <row r="593" spans="5:5" ht="13" x14ac:dyDescent="0.15">
      <c r="E593" s="52"/>
    </row>
    <row r="594" spans="5:5" ht="13" x14ac:dyDescent="0.15">
      <c r="E594" s="52"/>
    </row>
    <row r="595" spans="5:5" ht="13" x14ac:dyDescent="0.15">
      <c r="E595" s="52"/>
    </row>
    <row r="596" spans="5:5" ht="13" x14ac:dyDescent="0.15">
      <c r="E596" s="52"/>
    </row>
    <row r="597" spans="5:5" ht="13" x14ac:dyDescent="0.15">
      <c r="E597" s="52"/>
    </row>
    <row r="598" spans="5:5" ht="13" x14ac:dyDescent="0.15">
      <c r="E598" s="52"/>
    </row>
    <row r="599" spans="5:5" ht="13" x14ac:dyDescent="0.15">
      <c r="E599" s="52"/>
    </row>
    <row r="600" spans="5:5" ht="13" x14ac:dyDescent="0.15">
      <c r="E600" s="52"/>
    </row>
    <row r="601" spans="5:5" ht="13" x14ac:dyDescent="0.15">
      <c r="E601" s="52"/>
    </row>
    <row r="602" spans="5:5" ht="13" x14ac:dyDescent="0.15">
      <c r="E602" s="52"/>
    </row>
    <row r="603" spans="5:5" ht="13" x14ac:dyDescent="0.15">
      <c r="E603" s="52"/>
    </row>
    <row r="604" spans="5:5" ht="13" x14ac:dyDescent="0.15">
      <c r="E604" s="52"/>
    </row>
    <row r="605" spans="5:5" ht="13" x14ac:dyDescent="0.15">
      <c r="E605" s="52"/>
    </row>
    <row r="606" spans="5:5" ht="13" x14ac:dyDescent="0.15">
      <c r="E606" s="52"/>
    </row>
    <row r="607" spans="5:5" ht="13" x14ac:dyDescent="0.15">
      <c r="E607" s="52"/>
    </row>
    <row r="608" spans="5:5" ht="13" x14ac:dyDescent="0.15">
      <c r="E608" s="52"/>
    </row>
    <row r="609" spans="5:5" ht="13" x14ac:dyDescent="0.15">
      <c r="E609" s="52"/>
    </row>
    <row r="610" spans="5:5" ht="13" x14ac:dyDescent="0.15">
      <c r="E610" s="52"/>
    </row>
    <row r="611" spans="5:5" ht="13" x14ac:dyDescent="0.15">
      <c r="E611" s="52"/>
    </row>
    <row r="612" spans="5:5" ht="13" x14ac:dyDescent="0.15">
      <c r="E612" s="52"/>
    </row>
    <row r="613" spans="5:5" ht="13" x14ac:dyDescent="0.15">
      <c r="E613" s="52"/>
    </row>
    <row r="614" spans="5:5" ht="13" x14ac:dyDescent="0.15">
      <c r="E614" s="52"/>
    </row>
    <row r="615" spans="5:5" ht="13" x14ac:dyDescent="0.15">
      <c r="E615" s="52"/>
    </row>
    <row r="616" spans="5:5" ht="13" x14ac:dyDescent="0.15">
      <c r="E616" s="52"/>
    </row>
    <row r="617" spans="5:5" ht="13" x14ac:dyDescent="0.15">
      <c r="E617" s="52"/>
    </row>
    <row r="618" spans="5:5" ht="13" x14ac:dyDescent="0.15">
      <c r="E618" s="52"/>
    </row>
    <row r="619" spans="5:5" ht="13" x14ac:dyDescent="0.15">
      <c r="E619" s="52"/>
    </row>
    <row r="620" spans="5:5" ht="13" x14ac:dyDescent="0.15">
      <c r="E620" s="52"/>
    </row>
    <row r="621" spans="5:5" ht="13" x14ac:dyDescent="0.15">
      <c r="E621" s="52"/>
    </row>
    <row r="622" spans="5:5" ht="13" x14ac:dyDescent="0.15">
      <c r="E622" s="52"/>
    </row>
    <row r="623" spans="5:5" ht="13" x14ac:dyDescent="0.15">
      <c r="E623" s="52"/>
    </row>
    <row r="624" spans="5:5" ht="13" x14ac:dyDescent="0.15">
      <c r="E624" s="52"/>
    </row>
    <row r="625" spans="5:5" ht="13" x14ac:dyDescent="0.15">
      <c r="E625" s="52"/>
    </row>
    <row r="626" spans="5:5" ht="13" x14ac:dyDescent="0.15">
      <c r="E626" s="52"/>
    </row>
    <row r="627" spans="5:5" ht="13" x14ac:dyDescent="0.15">
      <c r="E627" s="52"/>
    </row>
    <row r="628" spans="5:5" ht="13" x14ac:dyDescent="0.15">
      <c r="E628" s="52"/>
    </row>
    <row r="629" spans="5:5" ht="13" x14ac:dyDescent="0.15">
      <c r="E629" s="52"/>
    </row>
    <row r="630" spans="5:5" ht="13" x14ac:dyDescent="0.15">
      <c r="E630" s="52"/>
    </row>
    <row r="631" spans="5:5" ht="13" x14ac:dyDescent="0.15">
      <c r="E631" s="52"/>
    </row>
    <row r="632" spans="5:5" ht="13" x14ac:dyDescent="0.15">
      <c r="E632" s="52"/>
    </row>
    <row r="633" spans="5:5" ht="13" x14ac:dyDescent="0.15">
      <c r="E633" s="52"/>
    </row>
    <row r="634" spans="5:5" ht="13" x14ac:dyDescent="0.15">
      <c r="E634" s="52"/>
    </row>
    <row r="635" spans="5:5" ht="13" x14ac:dyDescent="0.15">
      <c r="E635" s="52"/>
    </row>
    <row r="636" spans="5:5" ht="13" x14ac:dyDescent="0.15">
      <c r="E636" s="52"/>
    </row>
    <row r="637" spans="5:5" ht="13" x14ac:dyDescent="0.15">
      <c r="E637" s="52"/>
    </row>
    <row r="638" spans="5:5" ht="13" x14ac:dyDescent="0.15">
      <c r="E638" s="52"/>
    </row>
    <row r="639" spans="5:5" ht="13" x14ac:dyDescent="0.15">
      <c r="E639" s="52"/>
    </row>
    <row r="640" spans="5:5" ht="13" x14ac:dyDescent="0.15">
      <c r="E640" s="52"/>
    </row>
    <row r="641" spans="5:5" ht="13" x14ac:dyDescent="0.15">
      <c r="E641" s="52"/>
    </row>
    <row r="642" spans="5:5" ht="13" x14ac:dyDescent="0.15">
      <c r="E642" s="52"/>
    </row>
    <row r="643" spans="5:5" ht="13" x14ac:dyDescent="0.15">
      <c r="E643" s="52"/>
    </row>
    <row r="644" spans="5:5" ht="13" x14ac:dyDescent="0.15">
      <c r="E644" s="52"/>
    </row>
    <row r="645" spans="5:5" ht="13" x14ac:dyDescent="0.15">
      <c r="E645" s="52"/>
    </row>
    <row r="646" spans="5:5" ht="13" x14ac:dyDescent="0.15">
      <c r="E646" s="52"/>
    </row>
    <row r="647" spans="5:5" ht="13" x14ac:dyDescent="0.15">
      <c r="E647" s="52"/>
    </row>
    <row r="648" spans="5:5" ht="13" x14ac:dyDescent="0.15">
      <c r="E648" s="52"/>
    </row>
    <row r="649" spans="5:5" ht="13" x14ac:dyDescent="0.15">
      <c r="E649" s="52"/>
    </row>
    <row r="650" spans="5:5" ht="13" x14ac:dyDescent="0.15">
      <c r="E650" s="52"/>
    </row>
    <row r="651" spans="5:5" ht="13" x14ac:dyDescent="0.15">
      <c r="E651" s="52"/>
    </row>
    <row r="652" spans="5:5" ht="13" x14ac:dyDescent="0.15">
      <c r="E652" s="52"/>
    </row>
    <row r="653" spans="5:5" ht="13" x14ac:dyDescent="0.15">
      <c r="E653" s="52"/>
    </row>
    <row r="654" spans="5:5" ht="13" x14ac:dyDescent="0.15">
      <c r="E654" s="52"/>
    </row>
    <row r="655" spans="5:5" ht="13" x14ac:dyDescent="0.15">
      <c r="E655" s="52"/>
    </row>
    <row r="656" spans="5:5" ht="13" x14ac:dyDescent="0.15">
      <c r="E656" s="52"/>
    </row>
    <row r="657" spans="5:5" ht="13" x14ac:dyDescent="0.15">
      <c r="E657" s="52"/>
    </row>
    <row r="658" spans="5:5" ht="13" x14ac:dyDescent="0.15">
      <c r="E658" s="52"/>
    </row>
    <row r="659" spans="5:5" ht="13" x14ac:dyDescent="0.15">
      <c r="E659" s="52"/>
    </row>
    <row r="660" spans="5:5" ht="13" x14ac:dyDescent="0.15">
      <c r="E660" s="52"/>
    </row>
    <row r="661" spans="5:5" ht="13" x14ac:dyDescent="0.15">
      <c r="E661" s="52"/>
    </row>
    <row r="662" spans="5:5" ht="13" x14ac:dyDescent="0.15">
      <c r="E662" s="52"/>
    </row>
    <row r="663" spans="5:5" ht="13" x14ac:dyDescent="0.15">
      <c r="E663" s="52"/>
    </row>
    <row r="664" spans="5:5" ht="13" x14ac:dyDescent="0.15">
      <c r="E664" s="52"/>
    </row>
    <row r="665" spans="5:5" ht="13" x14ac:dyDescent="0.15">
      <c r="E665" s="52"/>
    </row>
    <row r="666" spans="5:5" ht="13" x14ac:dyDescent="0.15">
      <c r="E666" s="52"/>
    </row>
    <row r="667" spans="5:5" ht="13" x14ac:dyDescent="0.15">
      <c r="E667" s="52"/>
    </row>
    <row r="668" spans="5:5" ht="13" x14ac:dyDescent="0.15">
      <c r="E668" s="52"/>
    </row>
    <row r="669" spans="5:5" ht="13" x14ac:dyDescent="0.15">
      <c r="E669" s="52"/>
    </row>
    <row r="670" spans="5:5" ht="13" x14ac:dyDescent="0.15">
      <c r="E670" s="52"/>
    </row>
    <row r="671" spans="5:5" ht="13" x14ac:dyDescent="0.15">
      <c r="E671" s="52"/>
    </row>
    <row r="672" spans="5:5" ht="13" x14ac:dyDescent="0.15">
      <c r="E672" s="52"/>
    </row>
    <row r="673" spans="5:5" ht="13" x14ac:dyDescent="0.15">
      <c r="E673" s="52"/>
    </row>
    <row r="674" spans="5:5" ht="13" x14ac:dyDescent="0.15">
      <c r="E674" s="52"/>
    </row>
    <row r="675" spans="5:5" ht="13" x14ac:dyDescent="0.15">
      <c r="E675" s="52"/>
    </row>
    <row r="676" spans="5:5" ht="13" x14ac:dyDescent="0.15">
      <c r="E676" s="52"/>
    </row>
    <row r="677" spans="5:5" ht="13" x14ac:dyDescent="0.15">
      <c r="E677" s="52"/>
    </row>
    <row r="678" spans="5:5" ht="13" x14ac:dyDescent="0.15">
      <c r="E678" s="52"/>
    </row>
    <row r="679" spans="5:5" ht="13" x14ac:dyDescent="0.15">
      <c r="E679" s="52"/>
    </row>
    <row r="680" spans="5:5" ht="13" x14ac:dyDescent="0.15">
      <c r="E680" s="52"/>
    </row>
    <row r="681" spans="5:5" ht="13" x14ac:dyDescent="0.15">
      <c r="E681" s="52"/>
    </row>
    <row r="682" spans="5:5" ht="13" x14ac:dyDescent="0.15">
      <c r="E682" s="52"/>
    </row>
    <row r="683" spans="5:5" ht="13" x14ac:dyDescent="0.15">
      <c r="E683" s="52"/>
    </row>
    <row r="684" spans="5:5" ht="13" x14ac:dyDescent="0.15">
      <c r="E684" s="52"/>
    </row>
    <row r="685" spans="5:5" ht="13" x14ac:dyDescent="0.15">
      <c r="E685" s="52"/>
    </row>
    <row r="686" spans="5:5" ht="13" x14ac:dyDescent="0.15">
      <c r="E686" s="52"/>
    </row>
    <row r="687" spans="5:5" ht="13" x14ac:dyDescent="0.15">
      <c r="E687" s="52"/>
    </row>
    <row r="688" spans="5:5" ht="13" x14ac:dyDescent="0.15">
      <c r="E688" s="52"/>
    </row>
    <row r="689" spans="5:5" ht="13" x14ac:dyDescent="0.15">
      <c r="E689" s="52"/>
    </row>
    <row r="690" spans="5:5" ht="13" x14ac:dyDescent="0.15">
      <c r="E690" s="52"/>
    </row>
    <row r="691" spans="5:5" ht="13" x14ac:dyDescent="0.15">
      <c r="E691" s="52"/>
    </row>
    <row r="692" spans="5:5" ht="13" x14ac:dyDescent="0.15">
      <c r="E692" s="52"/>
    </row>
    <row r="693" spans="5:5" ht="13" x14ac:dyDescent="0.15">
      <c r="E693" s="52"/>
    </row>
    <row r="694" spans="5:5" ht="13" x14ac:dyDescent="0.15">
      <c r="E694" s="52"/>
    </row>
    <row r="695" spans="5:5" ht="13" x14ac:dyDescent="0.15">
      <c r="E695" s="52"/>
    </row>
    <row r="696" spans="5:5" ht="13" x14ac:dyDescent="0.15">
      <c r="E696" s="52"/>
    </row>
    <row r="697" spans="5:5" ht="13" x14ac:dyDescent="0.15">
      <c r="E697" s="52"/>
    </row>
    <row r="698" spans="5:5" ht="13" x14ac:dyDescent="0.15">
      <c r="E698" s="52"/>
    </row>
    <row r="699" spans="5:5" ht="13" x14ac:dyDescent="0.15">
      <c r="E699" s="52"/>
    </row>
    <row r="700" spans="5:5" ht="13" x14ac:dyDescent="0.15">
      <c r="E700" s="52"/>
    </row>
    <row r="701" spans="5:5" ht="13" x14ac:dyDescent="0.15">
      <c r="E701" s="52"/>
    </row>
    <row r="702" spans="5:5" ht="13" x14ac:dyDescent="0.15">
      <c r="E702" s="52"/>
    </row>
    <row r="703" spans="5:5" ht="13" x14ac:dyDescent="0.15">
      <c r="E703" s="52"/>
    </row>
    <row r="704" spans="5:5" ht="13" x14ac:dyDescent="0.15">
      <c r="E704" s="52"/>
    </row>
    <row r="705" spans="5:5" ht="13" x14ac:dyDescent="0.15">
      <c r="E705" s="52"/>
    </row>
    <row r="706" spans="5:5" ht="13" x14ac:dyDescent="0.15">
      <c r="E706" s="52"/>
    </row>
    <row r="707" spans="5:5" ht="13" x14ac:dyDescent="0.15">
      <c r="E707" s="52"/>
    </row>
    <row r="708" spans="5:5" ht="13" x14ac:dyDescent="0.15">
      <c r="E708" s="52"/>
    </row>
    <row r="709" spans="5:5" ht="13" x14ac:dyDescent="0.15">
      <c r="E709" s="52"/>
    </row>
    <row r="710" spans="5:5" ht="13" x14ac:dyDescent="0.15">
      <c r="E710" s="52"/>
    </row>
    <row r="711" spans="5:5" ht="13" x14ac:dyDescent="0.15">
      <c r="E711" s="52"/>
    </row>
    <row r="712" spans="5:5" ht="13" x14ac:dyDescent="0.15">
      <c r="E712" s="52"/>
    </row>
    <row r="713" spans="5:5" ht="13" x14ac:dyDescent="0.15">
      <c r="E713" s="52"/>
    </row>
    <row r="714" spans="5:5" ht="13" x14ac:dyDescent="0.15">
      <c r="E714" s="52"/>
    </row>
    <row r="715" spans="5:5" ht="13" x14ac:dyDescent="0.15">
      <c r="E715" s="52"/>
    </row>
    <row r="716" spans="5:5" ht="13" x14ac:dyDescent="0.15">
      <c r="E716" s="52"/>
    </row>
    <row r="717" spans="5:5" ht="13" x14ac:dyDescent="0.15">
      <c r="E717" s="52"/>
    </row>
    <row r="718" spans="5:5" ht="13" x14ac:dyDescent="0.15">
      <c r="E718" s="52"/>
    </row>
    <row r="719" spans="5:5" ht="13" x14ac:dyDescent="0.15">
      <c r="E719" s="52"/>
    </row>
    <row r="720" spans="5:5" ht="13" x14ac:dyDescent="0.15">
      <c r="E720" s="52"/>
    </row>
    <row r="721" spans="5:5" ht="13" x14ac:dyDescent="0.15">
      <c r="E721" s="52"/>
    </row>
    <row r="722" spans="5:5" ht="13" x14ac:dyDescent="0.15">
      <c r="E722" s="52"/>
    </row>
    <row r="723" spans="5:5" ht="13" x14ac:dyDescent="0.15">
      <c r="E723" s="52"/>
    </row>
    <row r="724" spans="5:5" ht="13" x14ac:dyDescent="0.15">
      <c r="E724" s="52"/>
    </row>
    <row r="725" spans="5:5" ht="13" x14ac:dyDescent="0.15">
      <c r="E725" s="52"/>
    </row>
    <row r="726" spans="5:5" ht="13" x14ac:dyDescent="0.15">
      <c r="E726" s="52"/>
    </row>
    <row r="727" spans="5:5" ht="13" x14ac:dyDescent="0.15">
      <c r="E727" s="52"/>
    </row>
    <row r="728" spans="5:5" ht="13" x14ac:dyDescent="0.15">
      <c r="E728" s="52"/>
    </row>
    <row r="729" spans="5:5" ht="13" x14ac:dyDescent="0.15">
      <c r="E729" s="52"/>
    </row>
    <row r="730" spans="5:5" ht="13" x14ac:dyDescent="0.15">
      <c r="E730" s="52"/>
    </row>
    <row r="731" spans="5:5" ht="13" x14ac:dyDescent="0.15">
      <c r="E731" s="52"/>
    </row>
    <row r="732" spans="5:5" ht="13" x14ac:dyDescent="0.15">
      <c r="E732" s="52"/>
    </row>
    <row r="733" spans="5:5" ht="13" x14ac:dyDescent="0.15">
      <c r="E733" s="52"/>
    </row>
    <row r="734" spans="5:5" ht="13" x14ac:dyDescent="0.15">
      <c r="E734" s="52"/>
    </row>
    <row r="735" spans="5:5" ht="13" x14ac:dyDescent="0.15">
      <c r="E735" s="52"/>
    </row>
    <row r="736" spans="5:5" ht="13" x14ac:dyDescent="0.15">
      <c r="E736" s="52"/>
    </row>
    <row r="737" spans="5:5" ht="13" x14ac:dyDescent="0.15">
      <c r="E737" s="52"/>
    </row>
    <row r="738" spans="5:5" ht="13" x14ac:dyDescent="0.15">
      <c r="E738" s="52"/>
    </row>
    <row r="739" spans="5:5" ht="13" x14ac:dyDescent="0.15">
      <c r="E739" s="52"/>
    </row>
    <row r="740" spans="5:5" ht="13" x14ac:dyDescent="0.15">
      <c r="E740" s="52"/>
    </row>
    <row r="741" spans="5:5" ht="13" x14ac:dyDescent="0.15">
      <c r="E741" s="52"/>
    </row>
    <row r="742" spans="5:5" ht="13" x14ac:dyDescent="0.15">
      <c r="E742" s="52"/>
    </row>
    <row r="743" spans="5:5" ht="13" x14ac:dyDescent="0.15">
      <c r="E743" s="52"/>
    </row>
    <row r="744" spans="5:5" ht="13" x14ac:dyDescent="0.15">
      <c r="E744" s="52"/>
    </row>
    <row r="745" spans="5:5" ht="13" x14ac:dyDescent="0.15">
      <c r="E745" s="52"/>
    </row>
    <row r="746" spans="5:5" ht="13" x14ac:dyDescent="0.15">
      <c r="E746" s="52"/>
    </row>
    <row r="747" spans="5:5" ht="13" x14ac:dyDescent="0.15">
      <c r="E747" s="52"/>
    </row>
    <row r="748" spans="5:5" ht="13" x14ac:dyDescent="0.15">
      <c r="E748" s="52"/>
    </row>
    <row r="749" spans="5:5" ht="13" x14ac:dyDescent="0.15">
      <c r="E749" s="52"/>
    </row>
    <row r="750" spans="5:5" ht="13" x14ac:dyDescent="0.15">
      <c r="E750" s="52"/>
    </row>
    <row r="751" spans="5:5" ht="13" x14ac:dyDescent="0.15">
      <c r="E751" s="52"/>
    </row>
    <row r="752" spans="5:5" ht="13" x14ac:dyDescent="0.15">
      <c r="E752" s="52"/>
    </row>
    <row r="753" spans="5:5" ht="13" x14ac:dyDescent="0.15">
      <c r="E753" s="52"/>
    </row>
    <row r="754" spans="5:5" ht="13" x14ac:dyDescent="0.15">
      <c r="E754" s="52"/>
    </row>
    <row r="755" spans="5:5" ht="13" x14ac:dyDescent="0.15">
      <c r="E755" s="52"/>
    </row>
    <row r="756" spans="5:5" ht="13" x14ac:dyDescent="0.15">
      <c r="E756" s="52"/>
    </row>
    <row r="757" spans="5:5" ht="13" x14ac:dyDescent="0.15">
      <c r="E757" s="52"/>
    </row>
    <row r="758" spans="5:5" ht="13" x14ac:dyDescent="0.15">
      <c r="E758" s="52"/>
    </row>
    <row r="759" spans="5:5" ht="13" x14ac:dyDescent="0.15">
      <c r="E759" s="52"/>
    </row>
    <row r="760" spans="5:5" ht="13" x14ac:dyDescent="0.15">
      <c r="E760" s="52"/>
    </row>
    <row r="761" spans="5:5" ht="13" x14ac:dyDescent="0.15">
      <c r="E761" s="52"/>
    </row>
    <row r="762" spans="5:5" ht="13" x14ac:dyDescent="0.15">
      <c r="E762" s="52"/>
    </row>
    <row r="763" spans="5:5" ht="13" x14ac:dyDescent="0.15">
      <c r="E763" s="52"/>
    </row>
    <row r="764" spans="5:5" ht="13" x14ac:dyDescent="0.15">
      <c r="E764" s="52"/>
    </row>
    <row r="765" spans="5:5" ht="13" x14ac:dyDescent="0.15">
      <c r="E765" s="52"/>
    </row>
    <row r="766" spans="5:5" ht="13" x14ac:dyDescent="0.15">
      <c r="E766" s="52"/>
    </row>
    <row r="767" spans="5:5" ht="13" x14ac:dyDescent="0.15">
      <c r="E767" s="52"/>
    </row>
    <row r="768" spans="5:5" ht="13" x14ac:dyDescent="0.15">
      <c r="E768" s="52"/>
    </row>
    <row r="769" spans="5:5" ht="13" x14ac:dyDescent="0.15">
      <c r="E769" s="52"/>
    </row>
    <row r="770" spans="5:5" ht="13" x14ac:dyDescent="0.15">
      <c r="E770" s="52"/>
    </row>
    <row r="771" spans="5:5" ht="13" x14ac:dyDescent="0.15">
      <c r="E771" s="52"/>
    </row>
    <row r="772" spans="5:5" ht="13" x14ac:dyDescent="0.15">
      <c r="E772" s="52"/>
    </row>
    <row r="773" spans="5:5" ht="13" x14ac:dyDescent="0.15">
      <c r="E773" s="52"/>
    </row>
    <row r="774" spans="5:5" ht="13" x14ac:dyDescent="0.15">
      <c r="E774" s="52"/>
    </row>
    <row r="775" spans="5:5" ht="13" x14ac:dyDescent="0.15">
      <c r="E775" s="52"/>
    </row>
    <row r="776" spans="5:5" ht="13" x14ac:dyDescent="0.15">
      <c r="E776" s="52"/>
    </row>
    <row r="777" spans="5:5" ht="13" x14ac:dyDescent="0.15">
      <c r="E777" s="52"/>
    </row>
    <row r="778" spans="5:5" ht="13" x14ac:dyDescent="0.15">
      <c r="E778" s="52"/>
    </row>
    <row r="779" spans="5:5" ht="13" x14ac:dyDescent="0.15">
      <c r="E779" s="52"/>
    </row>
    <row r="780" spans="5:5" ht="13" x14ac:dyDescent="0.15">
      <c r="E780" s="52"/>
    </row>
    <row r="781" spans="5:5" ht="13" x14ac:dyDescent="0.15">
      <c r="E781" s="52"/>
    </row>
    <row r="782" spans="5:5" ht="13" x14ac:dyDescent="0.15">
      <c r="E782" s="52"/>
    </row>
    <row r="783" spans="5:5" ht="13" x14ac:dyDescent="0.15">
      <c r="E783" s="52"/>
    </row>
    <row r="784" spans="5:5" ht="13" x14ac:dyDescent="0.15">
      <c r="E784" s="52"/>
    </row>
    <row r="785" spans="5:5" ht="13" x14ac:dyDescent="0.15">
      <c r="E785" s="52"/>
    </row>
    <row r="786" spans="5:5" ht="13" x14ac:dyDescent="0.15">
      <c r="E786" s="52"/>
    </row>
    <row r="787" spans="5:5" ht="13" x14ac:dyDescent="0.15">
      <c r="E787" s="52"/>
    </row>
    <row r="788" spans="5:5" ht="13" x14ac:dyDescent="0.15">
      <c r="E788" s="52"/>
    </row>
    <row r="789" spans="5:5" ht="13" x14ac:dyDescent="0.15">
      <c r="E789" s="52"/>
    </row>
    <row r="790" spans="5:5" ht="13" x14ac:dyDescent="0.15">
      <c r="E790" s="52"/>
    </row>
    <row r="791" spans="5:5" ht="13" x14ac:dyDescent="0.15">
      <c r="E791" s="52"/>
    </row>
    <row r="792" spans="5:5" ht="13" x14ac:dyDescent="0.15">
      <c r="E792" s="52"/>
    </row>
    <row r="793" spans="5:5" ht="13" x14ac:dyDescent="0.15">
      <c r="E793" s="52"/>
    </row>
    <row r="794" spans="5:5" ht="13" x14ac:dyDescent="0.15">
      <c r="E794" s="52"/>
    </row>
    <row r="795" spans="5:5" ht="13" x14ac:dyDescent="0.15">
      <c r="E795" s="52"/>
    </row>
    <row r="796" spans="5:5" ht="13" x14ac:dyDescent="0.15">
      <c r="E796" s="52"/>
    </row>
    <row r="797" spans="5:5" ht="13" x14ac:dyDescent="0.15">
      <c r="E797" s="52"/>
    </row>
    <row r="798" spans="5:5" ht="13" x14ac:dyDescent="0.15">
      <c r="E798" s="52"/>
    </row>
    <row r="799" spans="5:5" ht="13" x14ac:dyDescent="0.15">
      <c r="E799" s="52"/>
    </row>
    <row r="800" spans="5:5" ht="13" x14ac:dyDescent="0.15">
      <c r="E800" s="52"/>
    </row>
    <row r="801" spans="5:5" ht="13" x14ac:dyDescent="0.15">
      <c r="E801" s="52"/>
    </row>
    <row r="802" spans="5:5" ht="13" x14ac:dyDescent="0.15">
      <c r="E802" s="52"/>
    </row>
    <row r="803" spans="5:5" ht="13" x14ac:dyDescent="0.15">
      <c r="E803" s="52"/>
    </row>
    <row r="804" spans="5:5" ht="13" x14ac:dyDescent="0.15">
      <c r="E804" s="52"/>
    </row>
    <row r="805" spans="5:5" ht="13" x14ac:dyDescent="0.15">
      <c r="E805" s="52"/>
    </row>
    <row r="806" spans="5:5" ht="13" x14ac:dyDescent="0.15">
      <c r="E806" s="52"/>
    </row>
    <row r="807" spans="5:5" ht="13" x14ac:dyDescent="0.15">
      <c r="E807" s="52"/>
    </row>
    <row r="808" spans="5:5" ht="13" x14ac:dyDescent="0.15">
      <c r="E808" s="52"/>
    </row>
    <row r="809" spans="5:5" ht="13" x14ac:dyDescent="0.15">
      <c r="E809" s="52"/>
    </row>
    <row r="810" spans="5:5" ht="13" x14ac:dyDescent="0.15">
      <c r="E810" s="52"/>
    </row>
    <row r="811" spans="5:5" ht="13" x14ac:dyDescent="0.15">
      <c r="E811" s="52"/>
    </row>
    <row r="812" spans="5:5" ht="13" x14ac:dyDescent="0.15">
      <c r="E812" s="52"/>
    </row>
    <row r="813" spans="5:5" ht="13" x14ac:dyDescent="0.15">
      <c r="E813" s="52"/>
    </row>
    <row r="814" spans="5:5" ht="13" x14ac:dyDescent="0.15">
      <c r="E814" s="52"/>
    </row>
    <row r="815" spans="5:5" ht="13" x14ac:dyDescent="0.15">
      <c r="E815" s="52"/>
    </row>
    <row r="816" spans="5:5" ht="13" x14ac:dyDescent="0.15">
      <c r="E816" s="52"/>
    </row>
    <row r="817" spans="5:5" ht="13" x14ac:dyDescent="0.15">
      <c r="E817" s="52"/>
    </row>
    <row r="818" spans="5:5" ht="13" x14ac:dyDescent="0.15">
      <c r="E818" s="52"/>
    </row>
    <row r="819" spans="5:5" ht="13" x14ac:dyDescent="0.15">
      <c r="E819" s="52"/>
    </row>
    <row r="820" spans="5:5" ht="13" x14ac:dyDescent="0.15">
      <c r="E820" s="52"/>
    </row>
    <row r="821" spans="5:5" ht="13" x14ac:dyDescent="0.15">
      <c r="E821" s="52"/>
    </row>
    <row r="822" spans="5:5" ht="13" x14ac:dyDescent="0.15">
      <c r="E822" s="52"/>
    </row>
    <row r="823" spans="5:5" ht="13" x14ac:dyDescent="0.15">
      <c r="E823" s="52"/>
    </row>
    <row r="824" spans="5:5" ht="13" x14ac:dyDescent="0.15">
      <c r="E824" s="52"/>
    </row>
    <row r="825" spans="5:5" ht="13" x14ac:dyDescent="0.15">
      <c r="E825" s="52"/>
    </row>
    <row r="826" spans="5:5" ht="13" x14ac:dyDescent="0.15">
      <c r="E826" s="52"/>
    </row>
    <row r="827" spans="5:5" ht="13" x14ac:dyDescent="0.15">
      <c r="E827" s="52"/>
    </row>
    <row r="828" spans="5:5" ht="13" x14ac:dyDescent="0.15">
      <c r="E828" s="52"/>
    </row>
    <row r="829" spans="5:5" ht="13" x14ac:dyDescent="0.15">
      <c r="E829" s="52"/>
    </row>
    <row r="830" spans="5:5" ht="13" x14ac:dyDescent="0.15">
      <c r="E830" s="52"/>
    </row>
    <row r="831" spans="5:5" ht="13" x14ac:dyDescent="0.15">
      <c r="E831" s="52"/>
    </row>
    <row r="832" spans="5:5" ht="13" x14ac:dyDescent="0.15">
      <c r="E832" s="52"/>
    </row>
    <row r="833" spans="5:5" ht="13" x14ac:dyDescent="0.15">
      <c r="E833" s="52"/>
    </row>
    <row r="834" spans="5:5" ht="13" x14ac:dyDescent="0.15">
      <c r="E834" s="52"/>
    </row>
    <row r="835" spans="5:5" ht="13" x14ac:dyDescent="0.15">
      <c r="E835" s="52"/>
    </row>
    <row r="836" spans="5:5" ht="13" x14ac:dyDescent="0.15">
      <c r="E836" s="52"/>
    </row>
    <row r="837" spans="5:5" ht="13" x14ac:dyDescent="0.15">
      <c r="E837" s="52"/>
    </row>
    <row r="838" spans="5:5" ht="13" x14ac:dyDescent="0.15">
      <c r="E838" s="52"/>
    </row>
    <row r="839" spans="5:5" ht="13" x14ac:dyDescent="0.15">
      <c r="E839" s="52"/>
    </row>
    <row r="840" spans="5:5" ht="13" x14ac:dyDescent="0.15">
      <c r="E840" s="52"/>
    </row>
    <row r="841" spans="5:5" ht="13" x14ac:dyDescent="0.15">
      <c r="E841" s="52"/>
    </row>
    <row r="842" spans="5:5" ht="13" x14ac:dyDescent="0.15">
      <c r="E842" s="52"/>
    </row>
    <row r="843" spans="5:5" ht="13" x14ac:dyDescent="0.15">
      <c r="E843" s="52"/>
    </row>
    <row r="844" spans="5:5" ht="13" x14ac:dyDescent="0.15">
      <c r="E844" s="52"/>
    </row>
    <row r="845" spans="5:5" ht="13" x14ac:dyDescent="0.15">
      <c r="E845" s="52"/>
    </row>
    <row r="846" spans="5:5" ht="13" x14ac:dyDescent="0.15">
      <c r="E846" s="52"/>
    </row>
    <row r="847" spans="5:5" ht="13" x14ac:dyDescent="0.15">
      <c r="E847" s="52"/>
    </row>
    <row r="848" spans="5:5" ht="13" x14ac:dyDescent="0.15">
      <c r="E848" s="52"/>
    </row>
    <row r="849" spans="5:5" ht="13" x14ac:dyDescent="0.15">
      <c r="E849" s="52"/>
    </row>
    <row r="850" spans="5:5" ht="13" x14ac:dyDescent="0.15">
      <c r="E850" s="52"/>
    </row>
    <row r="851" spans="5:5" ht="13" x14ac:dyDescent="0.15">
      <c r="E851" s="52"/>
    </row>
    <row r="852" spans="5:5" ht="13" x14ac:dyDescent="0.15">
      <c r="E852" s="52"/>
    </row>
    <row r="853" spans="5:5" ht="13" x14ac:dyDescent="0.15">
      <c r="E853" s="52"/>
    </row>
    <row r="854" spans="5:5" ht="13" x14ac:dyDescent="0.15">
      <c r="E854" s="52"/>
    </row>
    <row r="855" spans="5:5" ht="13" x14ac:dyDescent="0.15">
      <c r="E855" s="52"/>
    </row>
    <row r="856" spans="5:5" ht="13" x14ac:dyDescent="0.15">
      <c r="E856" s="52"/>
    </row>
    <row r="857" spans="5:5" ht="13" x14ac:dyDescent="0.15">
      <c r="E857" s="52"/>
    </row>
    <row r="858" spans="5:5" ht="13" x14ac:dyDescent="0.15">
      <c r="E858" s="52"/>
    </row>
    <row r="859" spans="5:5" ht="13" x14ac:dyDescent="0.15">
      <c r="E859" s="52"/>
    </row>
    <row r="860" spans="5:5" ht="13" x14ac:dyDescent="0.15">
      <c r="E860" s="52"/>
    </row>
    <row r="861" spans="5:5" ht="13" x14ac:dyDescent="0.15">
      <c r="E861" s="52"/>
    </row>
    <row r="862" spans="5:5" ht="13" x14ac:dyDescent="0.15">
      <c r="E862" s="52"/>
    </row>
    <row r="863" spans="5:5" ht="13" x14ac:dyDescent="0.15">
      <c r="E863" s="52"/>
    </row>
    <row r="864" spans="5:5" ht="13" x14ac:dyDescent="0.15">
      <c r="E864" s="52"/>
    </row>
    <row r="865" spans="5:5" ht="13" x14ac:dyDescent="0.15">
      <c r="E865" s="52"/>
    </row>
    <row r="866" spans="5:5" ht="13" x14ac:dyDescent="0.15">
      <c r="E866" s="52"/>
    </row>
    <row r="867" spans="5:5" ht="13" x14ac:dyDescent="0.15">
      <c r="E867" s="52"/>
    </row>
    <row r="868" spans="5:5" ht="13" x14ac:dyDescent="0.15">
      <c r="E868" s="52"/>
    </row>
    <row r="869" spans="5:5" ht="13" x14ac:dyDescent="0.15">
      <c r="E869" s="52"/>
    </row>
    <row r="870" spans="5:5" ht="13" x14ac:dyDescent="0.15">
      <c r="E870" s="52"/>
    </row>
    <row r="871" spans="5:5" ht="13" x14ac:dyDescent="0.15">
      <c r="E871" s="52"/>
    </row>
    <row r="872" spans="5:5" ht="13" x14ac:dyDescent="0.15">
      <c r="E872" s="52"/>
    </row>
    <row r="873" spans="5:5" ht="13" x14ac:dyDescent="0.15">
      <c r="E873" s="52"/>
    </row>
    <row r="874" spans="5:5" ht="13" x14ac:dyDescent="0.15">
      <c r="E874" s="52"/>
    </row>
    <row r="875" spans="5:5" ht="13" x14ac:dyDescent="0.15">
      <c r="E875" s="52"/>
    </row>
    <row r="876" spans="5:5" ht="13" x14ac:dyDescent="0.15">
      <c r="E876" s="52"/>
    </row>
    <row r="877" spans="5:5" ht="13" x14ac:dyDescent="0.15">
      <c r="E877" s="52"/>
    </row>
    <row r="878" spans="5:5" ht="13" x14ac:dyDescent="0.15">
      <c r="E878" s="52"/>
    </row>
    <row r="879" spans="5:5" ht="13" x14ac:dyDescent="0.15">
      <c r="E879" s="52"/>
    </row>
    <row r="880" spans="5:5" ht="13" x14ac:dyDescent="0.15">
      <c r="E880" s="52"/>
    </row>
    <row r="881" spans="5:5" ht="13" x14ac:dyDescent="0.15">
      <c r="E881" s="52"/>
    </row>
    <row r="882" spans="5:5" ht="13" x14ac:dyDescent="0.15">
      <c r="E882" s="52"/>
    </row>
    <row r="883" spans="5:5" ht="13" x14ac:dyDescent="0.15">
      <c r="E883" s="52"/>
    </row>
    <row r="884" spans="5:5" ht="13" x14ac:dyDescent="0.15">
      <c r="E884" s="52"/>
    </row>
    <row r="885" spans="5:5" ht="13" x14ac:dyDescent="0.15">
      <c r="E885" s="52"/>
    </row>
    <row r="886" spans="5:5" ht="13" x14ac:dyDescent="0.15">
      <c r="E886" s="52"/>
    </row>
    <row r="887" spans="5:5" ht="13" x14ac:dyDescent="0.15">
      <c r="E887" s="52"/>
    </row>
    <row r="888" spans="5:5" ht="13" x14ac:dyDescent="0.15">
      <c r="E888" s="52"/>
    </row>
    <row r="889" spans="5:5" ht="13" x14ac:dyDescent="0.15">
      <c r="E889" s="52"/>
    </row>
    <row r="890" spans="5:5" ht="13" x14ac:dyDescent="0.15">
      <c r="E890" s="52"/>
    </row>
    <row r="891" spans="5:5" ht="13" x14ac:dyDescent="0.15">
      <c r="E891" s="52"/>
    </row>
    <row r="892" spans="5:5" ht="13" x14ac:dyDescent="0.15">
      <c r="E892" s="52"/>
    </row>
    <row r="893" spans="5:5" ht="13" x14ac:dyDescent="0.15">
      <c r="E893" s="52"/>
    </row>
    <row r="894" spans="5:5" ht="13" x14ac:dyDescent="0.15">
      <c r="E894" s="52"/>
    </row>
    <row r="895" spans="5:5" ht="13" x14ac:dyDescent="0.15">
      <c r="E895" s="52"/>
    </row>
    <row r="896" spans="5:5" ht="13" x14ac:dyDescent="0.15">
      <c r="E896" s="52"/>
    </row>
    <row r="897" spans="5:5" ht="13" x14ac:dyDescent="0.15">
      <c r="E897" s="52"/>
    </row>
    <row r="898" spans="5:5" ht="13" x14ac:dyDescent="0.15">
      <c r="E898" s="52"/>
    </row>
    <row r="899" spans="5:5" ht="13" x14ac:dyDescent="0.15">
      <c r="E899" s="52"/>
    </row>
    <row r="900" spans="5:5" ht="13" x14ac:dyDescent="0.15">
      <c r="E900" s="52"/>
    </row>
    <row r="901" spans="5:5" ht="13" x14ac:dyDescent="0.15">
      <c r="E901" s="52"/>
    </row>
    <row r="902" spans="5:5" ht="13" x14ac:dyDescent="0.15">
      <c r="E902" s="52"/>
    </row>
    <row r="903" spans="5:5" ht="13" x14ac:dyDescent="0.15">
      <c r="E903" s="52"/>
    </row>
    <row r="904" spans="5:5" ht="13" x14ac:dyDescent="0.15">
      <c r="E904" s="52"/>
    </row>
    <row r="905" spans="5:5" ht="13" x14ac:dyDescent="0.15">
      <c r="E905" s="52"/>
    </row>
    <row r="906" spans="5:5" ht="13" x14ac:dyDescent="0.15">
      <c r="E906" s="52"/>
    </row>
    <row r="907" spans="5:5" ht="13" x14ac:dyDescent="0.15">
      <c r="E907" s="52"/>
    </row>
    <row r="908" spans="5:5" ht="13" x14ac:dyDescent="0.15">
      <c r="E908" s="52"/>
    </row>
    <row r="909" spans="5:5" ht="13" x14ac:dyDescent="0.15">
      <c r="E909" s="52"/>
    </row>
    <row r="910" spans="5:5" ht="13" x14ac:dyDescent="0.15">
      <c r="E910" s="52"/>
    </row>
    <row r="911" spans="5:5" ht="13" x14ac:dyDescent="0.15">
      <c r="E911" s="52"/>
    </row>
    <row r="912" spans="5:5" ht="13" x14ac:dyDescent="0.15">
      <c r="E912" s="52"/>
    </row>
    <row r="913" spans="5:5" ht="13" x14ac:dyDescent="0.15">
      <c r="E913" s="52"/>
    </row>
    <row r="914" spans="5:5" ht="13" x14ac:dyDescent="0.15">
      <c r="E914" s="52"/>
    </row>
    <row r="915" spans="5:5" ht="13" x14ac:dyDescent="0.15">
      <c r="E915" s="52"/>
    </row>
    <row r="916" spans="5:5" ht="13" x14ac:dyDescent="0.15">
      <c r="E916" s="52"/>
    </row>
    <row r="917" spans="5:5" ht="13" x14ac:dyDescent="0.15">
      <c r="E917" s="52"/>
    </row>
    <row r="918" spans="5:5" ht="13" x14ac:dyDescent="0.15">
      <c r="E918" s="52"/>
    </row>
    <row r="919" spans="5:5" ht="13" x14ac:dyDescent="0.15">
      <c r="E919" s="52"/>
    </row>
    <row r="920" spans="5:5" ht="13" x14ac:dyDescent="0.15">
      <c r="E920" s="52"/>
    </row>
    <row r="921" spans="5:5" ht="13" x14ac:dyDescent="0.15">
      <c r="E921" s="52"/>
    </row>
    <row r="922" spans="5:5" ht="13" x14ac:dyDescent="0.15">
      <c r="E922" s="52"/>
    </row>
    <row r="923" spans="5:5" ht="13" x14ac:dyDescent="0.15">
      <c r="E923" s="52"/>
    </row>
    <row r="924" spans="5:5" ht="13" x14ac:dyDescent="0.15">
      <c r="E924" s="52"/>
    </row>
    <row r="925" spans="5:5" ht="13" x14ac:dyDescent="0.15">
      <c r="E925" s="52"/>
    </row>
    <row r="926" spans="5:5" ht="13" x14ac:dyDescent="0.15">
      <c r="E926" s="52"/>
    </row>
    <row r="927" spans="5:5" ht="13" x14ac:dyDescent="0.15">
      <c r="E927" s="52"/>
    </row>
    <row r="928" spans="5:5" ht="13" x14ac:dyDescent="0.15">
      <c r="E928" s="52"/>
    </row>
    <row r="929" spans="5:5" ht="13" x14ac:dyDescent="0.15">
      <c r="E929" s="52"/>
    </row>
    <row r="930" spans="5:5" ht="13" x14ac:dyDescent="0.15">
      <c r="E930" s="52"/>
    </row>
    <row r="931" spans="5:5" ht="13" x14ac:dyDescent="0.15">
      <c r="E931" s="52"/>
    </row>
    <row r="932" spans="5:5" ht="13" x14ac:dyDescent="0.15">
      <c r="E932" s="52"/>
    </row>
    <row r="933" spans="5:5" ht="13" x14ac:dyDescent="0.15">
      <c r="E933" s="52"/>
    </row>
    <row r="934" spans="5:5" ht="13" x14ac:dyDescent="0.15">
      <c r="E934" s="52"/>
    </row>
    <row r="935" spans="5:5" ht="13" x14ac:dyDescent="0.15">
      <c r="E935" s="52"/>
    </row>
    <row r="936" spans="5:5" ht="13" x14ac:dyDescent="0.15">
      <c r="E936" s="52"/>
    </row>
    <row r="937" spans="5:5" ht="13" x14ac:dyDescent="0.15">
      <c r="E937" s="52"/>
    </row>
    <row r="938" spans="5:5" ht="13" x14ac:dyDescent="0.15">
      <c r="E938" s="52"/>
    </row>
    <row r="939" spans="5:5" ht="13" x14ac:dyDescent="0.15">
      <c r="E939" s="52"/>
    </row>
    <row r="940" spans="5:5" ht="13" x14ac:dyDescent="0.15">
      <c r="E940" s="52"/>
    </row>
    <row r="941" spans="5:5" ht="13" x14ac:dyDescent="0.15">
      <c r="E941" s="52"/>
    </row>
    <row r="942" spans="5:5" ht="13" x14ac:dyDescent="0.15">
      <c r="E942" s="52"/>
    </row>
    <row r="943" spans="5:5" ht="13" x14ac:dyDescent="0.15">
      <c r="E943" s="52"/>
    </row>
    <row r="944" spans="5:5" ht="13" x14ac:dyDescent="0.15">
      <c r="E944" s="52"/>
    </row>
    <row r="945" spans="5:5" ht="13" x14ac:dyDescent="0.15">
      <c r="E945" s="52"/>
    </row>
    <row r="946" spans="5:5" ht="13" x14ac:dyDescent="0.15">
      <c r="E946" s="52"/>
    </row>
  </sheetData>
  <mergeCells count="5">
    <mergeCell ref="A1:E1"/>
    <mergeCell ref="A4:A16"/>
    <mergeCell ref="A19:A21"/>
    <mergeCell ref="A24:A50"/>
    <mergeCell ref="C53:D53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xr:uid="{00000000-0002-0000-0000-000000000000}">
          <x14:formula1>
            <xm:f>Interactive!$D$8:$D$12</xm:f>
          </x14:formula1>
          <xm:sqref>D21</xm:sqref>
        </x14:dataValidation>
        <x14:dataValidation type="list" allowBlank="1" xr:uid="{00000000-0002-0000-0000-000001000000}">
          <x14:formula1>
            <xm:f>Sensorial!$D$56:$D$59</xm:f>
          </x14:formula1>
          <xm:sqref>D44</xm:sqref>
        </x14:dataValidation>
        <x14:dataValidation type="list" allowBlank="1" showErrorMessage="1" xr:uid="{00000000-0002-0000-0000-000002000000}">
          <x14:formula1>
            <xm:f>Engagemmmment!$D$3:$D$6</xm:f>
          </x14:formula1>
          <xm:sqref>D4</xm:sqref>
        </x14:dataValidation>
        <x14:dataValidation type="list" allowBlank="1" xr:uid="{00000000-0002-0000-0000-000003000000}">
          <x14:formula1>
            <xm:f>Engagemmmment!$D$25:$D$29</xm:f>
          </x14:formula1>
          <xm:sqref>D12</xm:sqref>
        </x14:dataValidation>
        <x14:dataValidation type="list" allowBlank="1" xr:uid="{00000000-0002-0000-0000-000004000000}">
          <x14:formula1>
            <xm:f>Sensorial!$D$9:$D$13</xm:f>
          </x14:formula1>
          <xm:sqref>D26</xm:sqref>
        </x14:dataValidation>
        <x14:dataValidation type="list" allowBlank="1" xr:uid="{00000000-0002-0000-0000-000005000000}">
          <x14:formula1>
            <xm:f>Sensorial!$D$72:$D$74</xm:f>
          </x14:formula1>
          <xm:sqref>D50</xm:sqref>
        </x14:dataValidation>
        <x14:dataValidation type="list" allowBlank="1" xr:uid="{00000000-0002-0000-0000-000006000000}">
          <x14:formula1>
            <xm:f>Engagemmmment!$D$31:$D$34</xm:f>
          </x14:formula1>
          <xm:sqref>D14</xm:sqref>
        </x14:dataValidation>
        <x14:dataValidation type="list" allowBlank="1" xr:uid="{00000000-0002-0000-0000-000007000000}">
          <x14:formula1>
            <xm:f>Sensorial!$D$3:$D$7</xm:f>
          </x14:formula1>
          <xm:sqref>D24</xm:sqref>
        </x14:dataValidation>
        <x14:dataValidation type="list" allowBlank="1" xr:uid="{00000000-0002-0000-0000-000008000000}">
          <x14:formula1>
            <xm:f>Sensorial!$D$25:$D$27</xm:f>
          </x14:formula1>
          <xm:sqref>D32</xm:sqref>
        </x14:dataValidation>
        <x14:dataValidation type="list" allowBlank="1" xr:uid="{00000000-0002-0000-0000-000009000000}">
          <x14:formula1>
            <xm:f>Sensorial!$D$47:$D$54</xm:f>
          </x14:formula1>
          <xm:sqref>D42</xm:sqref>
        </x14:dataValidation>
        <x14:dataValidation type="list" allowBlank="1" xr:uid="{00000000-0002-0000-0000-00000A000000}">
          <x14:formula1>
            <xm:f>Engagemmmment!$D$36:$D$40</xm:f>
          </x14:formula1>
          <xm:sqref>D16</xm:sqref>
        </x14:dataValidation>
        <x14:dataValidation type="list" allowBlank="1" xr:uid="{00000000-0002-0000-0000-00000B000000}">
          <x14:formula1>
            <xm:f>Sensorial!$D$29:$D$31</xm:f>
          </x14:formula1>
          <xm:sqref>D34</xm:sqref>
        </x14:dataValidation>
        <x14:dataValidation type="list" allowBlank="1" xr:uid="{00000000-0002-0000-0000-00000C000000}">
          <x14:formula1>
            <xm:f>Sensorial!$D$67:$D$70</xm:f>
          </x14:formula1>
          <xm:sqref>D48</xm:sqref>
        </x14:dataValidation>
        <x14:dataValidation type="list" allowBlank="1" xr:uid="{00000000-0002-0000-0000-00000D000000}">
          <x14:formula1>
            <xm:f>Sensorial!$D$20:$D$23</xm:f>
          </x14:formula1>
          <xm:sqref>D30</xm:sqref>
        </x14:dataValidation>
        <x14:dataValidation type="list" allowBlank="1" xr:uid="{00000000-0002-0000-0000-00000E000000}">
          <x14:formula1>
            <xm:f>Sensorial!$D$61:$D$65</xm:f>
          </x14:formula1>
          <xm:sqref>D46</xm:sqref>
        </x14:dataValidation>
        <x14:dataValidation type="list" allowBlank="1" xr:uid="{00000000-0002-0000-0000-00000F000000}">
          <x14:formula1>
            <xm:f>Sensorial!$D$37:$D$40</xm:f>
          </x14:formula1>
          <xm:sqref>D38</xm:sqref>
        </x14:dataValidation>
        <x14:dataValidation type="list" allowBlank="1" xr:uid="{00000000-0002-0000-0000-000010000000}">
          <x14:formula1>
            <xm:f>Sensorial!$D$42:$D$45</xm:f>
          </x14:formula1>
          <xm:sqref>D40</xm:sqref>
        </x14:dataValidation>
        <x14:dataValidation type="list" allowBlank="1" xr:uid="{00000000-0002-0000-0000-000011000000}">
          <x14:formula1>
            <xm:f>Sensorial!$D$33:$D$35</xm:f>
          </x14:formula1>
          <xm:sqref>D36</xm:sqref>
        </x14:dataValidation>
        <x14:dataValidation type="list" allowBlank="1" xr:uid="{00000000-0002-0000-0000-000012000000}">
          <x14:formula1>
            <xm:f>Engagemmmment!$D$19:$D$23</xm:f>
          </x14:formula1>
          <xm:sqref>D10</xm:sqref>
        </x14:dataValidation>
        <x14:dataValidation type="list" allowBlank="1" xr:uid="{00000000-0002-0000-0000-000013000000}">
          <x14:formula1>
            <xm:f>Engagemmmment!$D$8:$D$11</xm:f>
          </x14:formula1>
          <xm:sqref>D6</xm:sqref>
        </x14:dataValidation>
        <x14:dataValidation type="list" allowBlank="1" xr:uid="{00000000-0002-0000-0000-000014000000}">
          <x14:formula1>
            <xm:f>Interactive!$D$2:$D$6</xm:f>
          </x14:formula1>
          <xm:sqref>D19</xm:sqref>
        </x14:dataValidation>
        <x14:dataValidation type="list" allowBlank="1" xr:uid="{00000000-0002-0000-0000-000015000000}">
          <x14:formula1>
            <xm:f>Sensorial!$D$15:$D$18</xm:f>
          </x14:formula1>
          <xm:sqref>D28</xm:sqref>
        </x14:dataValidation>
        <x14:dataValidation type="list" allowBlank="1" xr:uid="{00000000-0002-0000-0000-000016000000}">
          <x14:formula1>
            <xm:f>Engagemmmment!$D$13:$D$17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19"/>
  <sheetViews>
    <sheetView workbookViewId="0"/>
  </sheetViews>
  <sheetFormatPr baseColWidth="10" defaultColWidth="12.6640625" defaultRowHeight="15.75" customHeight="1" x14ac:dyDescent="0.15"/>
  <cols>
    <col min="1" max="1" width="19.6640625" customWidth="1"/>
    <col min="2" max="2" width="15" customWidth="1"/>
    <col min="3" max="3" width="53.6640625" customWidth="1"/>
    <col min="4" max="4" width="90.6640625" customWidth="1"/>
    <col min="5" max="5" width="7.6640625" customWidth="1"/>
  </cols>
  <sheetData>
    <row r="1" spans="1:5" ht="13" x14ac:dyDescent="0.15">
      <c r="A1" s="1"/>
      <c r="B1" s="1"/>
      <c r="C1" s="1"/>
      <c r="D1" s="1"/>
      <c r="E1" s="4"/>
    </row>
    <row r="2" spans="1:5" ht="13" x14ac:dyDescent="0.15">
      <c r="A2" s="6" t="s">
        <v>1</v>
      </c>
      <c r="B2" s="6" t="s">
        <v>2</v>
      </c>
      <c r="C2" s="6" t="s">
        <v>3</v>
      </c>
      <c r="D2" s="6" t="s">
        <v>4</v>
      </c>
      <c r="E2" s="8" t="s">
        <v>5</v>
      </c>
    </row>
    <row r="3" spans="1:5" ht="13" x14ac:dyDescent="0.15">
      <c r="A3" s="83" t="s">
        <v>7</v>
      </c>
      <c r="B3" s="83" t="s">
        <v>12</v>
      </c>
      <c r="C3" s="81" t="s">
        <v>16</v>
      </c>
      <c r="D3" s="17" t="s">
        <v>14</v>
      </c>
      <c r="E3" s="13">
        <v>0</v>
      </c>
    </row>
    <row r="4" spans="1:5" ht="13" x14ac:dyDescent="0.15">
      <c r="A4" s="75"/>
      <c r="B4" s="75"/>
      <c r="C4" s="75"/>
      <c r="D4" s="11" t="s">
        <v>25</v>
      </c>
      <c r="E4" s="13">
        <v>2</v>
      </c>
    </row>
    <row r="5" spans="1:5" ht="13" x14ac:dyDescent="0.15">
      <c r="A5" s="75"/>
      <c r="B5" s="75"/>
      <c r="C5" s="75"/>
      <c r="D5" s="11" t="s">
        <v>26</v>
      </c>
      <c r="E5" s="13">
        <v>5</v>
      </c>
    </row>
    <row r="6" spans="1:5" ht="13" x14ac:dyDescent="0.15">
      <c r="A6" s="75"/>
      <c r="B6" s="76"/>
      <c r="C6" s="76"/>
      <c r="D6" s="23" t="s">
        <v>30</v>
      </c>
      <c r="E6" s="25">
        <v>7</v>
      </c>
    </row>
    <row r="7" spans="1:5" ht="9" customHeight="1" x14ac:dyDescent="0.15">
      <c r="A7" s="75"/>
      <c r="B7" s="27"/>
      <c r="C7" s="29"/>
      <c r="D7" s="31"/>
      <c r="E7" s="33"/>
    </row>
    <row r="8" spans="1:5" ht="17.25" customHeight="1" x14ac:dyDescent="0.15">
      <c r="A8" s="75"/>
      <c r="B8" s="80" t="s">
        <v>38</v>
      </c>
      <c r="C8" s="82" t="s">
        <v>43</v>
      </c>
      <c r="D8" s="17" t="s">
        <v>14</v>
      </c>
      <c r="E8" s="13">
        <v>0</v>
      </c>
    </row>
    <row r="9" spans="1:5" ht="18" customHeight="1" x14ac:dyDescent="0.15">
      <c r="A9" s="75"/>
      <c r="B9" s="75"/>
      <c r="C9" s="75"/>
      <c r="D9" s="42" t="s">
        <v>46</v>
      </c>
      <c r="E9" s="43">
        <v>2.5</v>
      </c>
    </row>
    <row r="10" spans="1:5" ht="13" x14ac:dyDescent="0.15">
      <c r="A10" s="75"/>
      <c r="B10" s="75"/>
      <c r="C10" s="75"/>
      <c r="D10" s="11" t="s">
        <v>50</v>
      </c>
      <c r="E10" s="13">
        <v>5</v>
      </c>
    </row>
    <row r="11" spans="1:5" ht="13" x14ac:dyDescent="0.15">
      <c r="A11" s="75"/>
      <c r="B11" s="76"/>
      <c r="C11" s="76"/>
      <c r="D11" s="11" t="s">
        <v>53</v>
      </c>
      <c r="E11" s="13">
        <v>6.5</v>
      </c>
    </row>
    <row r="12" spans="1:5" ht="9" customHeight="1" x14ac:dyDescent="0.15">
      <c r="A12" s="75"/>
      <c r="B12" s="27"/>
      <c r="C12" s="29"/>
      <c r="D12" s="31"/>
      <c r="E12" s="33"/>
    </row>
    <row r="13" spans="1:5" ht="13" x14ac:dyDescent="0.15">
      <c r="A13" s="75"/>
      <c r="B13" s="80" t="s">
        <v>55</v>
      </c>
      <c r="C13" s="82" t="s">
        <v>57</v>
      </c>
      <c r="D13" s="17" t="s">
        <v>14</v>
      </c>
      <c r="E13" s="13">
        <v>0</v>
      </c>
    </row>
    <row r="14" spans="1:5" ht="13" x14ac:dyDescent="0.15">
      <c r="A14" s="75"/>
      <c r="B14" s="75"/>
      <c r="C14" s="75"/>
      <c r="D14" s="11" t="s">
        <v>60</v>
      </c>
      <c r="E14" s="13">
        <v>2.5</v>
      </c>
    </row>
    <row r="15" spans="1:5" ht="13" x14ac:dyDescent="0.15">
      <c r="A15" s="75"/>
      <c r="B15" s="75"/>
      <c r="C15" s="75"/>
      <c r="D15" s="11" t="s">
        <v>63</v>
      </c>
      <c r="E15" s="13">
        <v>5</v>
      </c>
    </row>
    <row r="16" spans="1:5" ht="13" x14ac:dyDescent="0.15">
      <c r="A16" s="75"/>
      <c r="B16" s="75"/>
      <c r="C16" s="75"/>
      <c r="D16" s="11" t="s">
        <v>66</v>
      </c>
      <c r="E16" s="13">
        <v>6</v>
      </c>
    </row>
    <row r="17" spans="1:5" ht="13" x14ac:dyDescent="0.15">
      <c r="A17" s="75"/>
      <c r="B17" s="76"/>
      <c r="C17" s="76"/>
      <c r="D17" s="11" t="s">
        <v>68</v>
      </c>
      <c r="E17" s="13">
        <v>7</v>
      </c>
    </row>
    <row r="18" spans="1:5" ht="9" customHeight="1" x14ac:dyDescent="0.15">
      <c r="A18" s="75"/>
      <c r="B18" s="27"/>
      <c r="C18" s="45"/>
      <c r="D18" s="31"/>
      <c r="E18" s="33"/>
    </row>
    <row r="19" spans="1:5" ht="13" x14ac:dyDescent="0.15">
      <c r="A19" s="75"/>
      <c r="B19" s="80" t="s">
        <v>71</v>
      </c>
      <c r="C19" s="81" t="s">
        <v>73</v>
      </c>
      <c r="D19" s="17" t="s">
        <v>14</v>
      </c>
      <c r="E19" s="13">
        <v>0</v>
      </c>
    </row>
    <row r="20" spans="1:5" ht="13" x14ac:dyDescent="0.15">
      <c r="A20" s="75"/>
      <c r="B20" s="75"/>
      <c r="C20" s="75"/>
      <c r="D20" s="17" t="s">
        <v>77</v>
      </c>
      <c r="E20" s="13">
        <v>1</v>
      </c>
    </row>
    <row r="21" spans="1:5" ht="13" x14ac:dyDescent="0.15">
      <c r="A21" s="75"/>
      <c r="B21" s="75"/>
      <c r="C21" s="75"/>
      <c r="D21" s="17" t="s">
        <v>80</v>
      </c>
      <c r="E21" s="13">
        <v>3</v>
      </c>
    </row>
    <row r="22" spans="1:5" ht="13" x14ac:dyDescent="0.15">
      <c r="A22" s="75"/>
      <c r="B22" s="75"/>
      <c r="C22" s="75"/>
      <c r="D22" s="17" t="s">
        <v>82</v>
      </c>
      <c r="E22" s="13">
        <v>5</v>
      </c>
    </row>
    <row r="23" spans="1:5" ht="13" x14ac:dyDescent="0.15">
      <c r="A23" s="75"/>
      <c r="B23" s="76"/>
      <c r="C23" s="76"/>
      <c r="D23" s="17" t="s">
        <v>84</v>
      </c>
      <c r="E23" s="13">
        <v>7</v>
      </c>
    </row>
    <row r="24" spans="1:5" ht="9" customHeight="1" x14ac:dyDescent="0.15">
      <c r="A24" s="75"/>
      <c r="B24" s="27"/>
      <c r="C24" s="29"/>
      <c r="D24" s="46"/>
      <c r="E24" s="33"/>
    </row>
    <row r="25" spans="1:5" ht="13" x14ac:dyDescent="0.15">
      <c r="A25" s="75"/>
      <c r="B25" s="80" t="s">
        <v>88</v>
      </c>
      <c r="C25" s="82" t="s">
        <v>90</v>
      </c>
      <c r="D25" s="17" t="s">
        <v>14</v>
      </c>
      <c r="E25" s="13">
        <v>0</v>
      </c>
    </row>
    <row r="26" spans="1:5" ht="13" x14ac:dyDescent="0.15">
      <c r="A26" s="75"/>
      <c r="B26" s="75"/>
      <c r="C26" s="75"/>
      <c r="D26" s="17" t="s">
        <v>95</v>
      </c>
      <c r="E26" s="13">
        <v>1</v>
      </c>
    </row>
    <row r="27" spans="1:5" ht="13" x14ac:dyDescent="0.15">
      <c r="A27" s="75"/>
      <c r="B27" s="75"/>
      <c r="C27" s="75"/>
      <c r="D27" s="17" t="s">
        <v>97</v>
      </c>
      <c r="E27" s="13">
        <v>3</v>
      </c>
    </row>
    <row r="28" spans="1:5" ht="13" x14ac:dyDescent="0.15">
      <c r="A28" s="75"/>
      <c r="B28" s="75"/>
      <c r="C28" s="75"/>
      <c r="D28" s="17" t="s">
        <v>100</v>
      </c>
      <c r="E28" s="13">
        <v>5</v>
      </c>
    </row>
    <row r="29" spans="1:5" ht="13" x14ac:dyDescent="0.15">
      <c r="A29" s="75"/>
      <c r="B29" s="76"/>
      <c r="C29" s="76"/>
      <c r="D29" s="17" t="s">
        <v>102</v>
      </c>
      <c r="E29" s="13">
        <v>7</v>
      </c>
    </row>
    <row r="30" spans="1:5" ht="9" customHeight="1" x14ac:dyDescent="0.15">
      <c r="A30" s="75"/>
      <c r="B30" s="27"/>
      <c r="C30" s="29"/>
      <c r="D30" s="46"/>
      <c r="E30" s="33"/>
    </row>
    <row r="31" spans="1:5" ht="13" x14ac:dyDescent="0.15">
      <c r="A31" s="75"/>
      <c r="B31" s="80" t="s">
        <v>105</v>
      </c>
      <c r="C31" s="82" t="s">
        <v>107</v>
      </c>
      <c r="D31" s="17" t="s">
        <v>14</v>
      </c>
      <c r="E31" s="13">
        <v>0</v>
      </c>
    </row>
    <row r="32" spans="1:5" ht="13" x14ac:dyDescent="0.15">
      <c r="A32" s="75"/>
      <c r="B32" s="75"/>
      <c r="C32" s="75"/>
      <c r="D32" s="17" t="s">
        <v>111</v>
      </c>
      <c r="E32" s="13">
        <v>1</v>
      </c>
    </row>
    <row r="33" spans="1:5" ht="13" x14ac:dyDescent="0.15">
      <c r="A33" s="75"/>
      <c r="B33" s="75"/>
      <c r="C33" s="75"/>
      <c r="D33" s="17" t="s">
        <v>114</v>
      </c>
      <c r="E33" s="13">
        <v>4</v>
      </c>
    </row>
    <row r="34" spans="1:5" ht="13" x14ac:dyDescent="0.15">
      <c r="A34" s="75"/>
      <c r="B34" s="76"/>
      <c r="C34" s="76"/>
      <c r="D34" s="17" t="s">
        <v>116</v>
      </c>
      <c r="E34" s="13">
        <v>7</v>
      </c>
    </row>
    <row r="35" spans="1:5" ht="9" customHeight="1" x14ac:dyDescent="0.15">
      <c r="A35" s="75"/>
      <c r="B35" s="27"/>
      <c r="C35" s="29"/>
      <c r="D35" s="46"/>
      <c r="E35" s="33"/>
    </row>
    <row r="36" spans="1:5" ht="13" x14ac:dyDescent="0.15">
      <c r="A36" s="75"/>
      <c r="B36" s="80" t="s">
        <v>119</v>
      </c>
      <c r="C36" s="82" t="s">
        <v>121</v>
      </c>
      <c r="D36" s="17" t="s">
        <v>14</v>
      </c>
      <c r="E36" s="13">
        <v>0</v>
      </c>
    </row>
    <row r="37" spans="1:5" ht="13" x14ac:dyDescent="0.15">
      <c r="A37" s="75"/>
      <c r="B37" s="75"/>
      <c r="C37" s="75"/>
      <c r="D37" s="17" t="s">
        <v>125</v>
      </c>
      <c r="E37" s="13">
        <v>1</v>
      </c>
    </row>
    <row r="38" spans="1:5" ht="15.75" customHeight="1" x14ac:dyDescent="0.15">
      <c r="A38" s="75"/>
      <c r="B38" s="75"/>
      <c r="C38" s="75"/>
      <c r="D38" s="17" t="s">
        <v>126</v>
      </c>
      <c r="E38" s="13">
        <v>3</v>
      </c>
    </row>
    <row r="39" spans="1:5" ht="13" x14ac:dyDescent="0.15">
      <c r="A39" s="75"/>
      <c r="B39" s="75"/>
      <c r="C39" s="75"/>
      <c r="D39" s="1" t="s">
        <v>127</v>
      </c>
      <c r="E39" s="13">
        <v>5</v>
      </c>
    </row>
    <row r="40" spans="1:5" ht="13" x14ac:dyDescent="0.15">
      <c r="A40" s="76"/>
      <c r="B40" s="76"/>
      <c r="C40" s="76"/>
      <c r="D40" s="17" t="s">
        <v>129</v>
      </c>
      <c r="E40" s="13">
        <v>7</v>
      </c>
    </row>
    <row r="41" spans="1:5" ht="13" x14ac:dyDescent="0.15">
      <c r="A41" s="48"/>
      <c r="B41" s="48"/>
      <c r="C41" s="49"/>
      <c r="D41" s="45"/>
      <c r="E41" s="50"/>
    </row>
    <row r="42" spans="1:5" ht="13" x14ac:dyDescent="0.15">
      <c r="E42" s="50"/>
    </row>
    <row r="43" spans="1:5" ht="13" x14ac:dyDescent="0.15">
      <c r="E43" s="50"/>
    </row>
    <row r="44" spans="1:5" ht="13" x14ac:dyDescent="0.15">
      <c r="E44" s="50"/>
    </row>
    <row r="45" spans="1:5" ht="13" x14ac:dyDescent="0.15">
      <c r="E45" s="50"/>
    </row>
    <row r="46" spans="1:5" ht="13" x14ac:dyDescent="0.15">
      <c r="E46" s="50"/>
    </row>
    <row r="47" spans="1:5" ht="13" x14ac:dyDescent="0.15">
      <c r="E47" s="50"/>
    </row>
    <row r="48" spans="1:5" ht="13" x14ac:dyDescent="0.15">
      <c r="E48" s="50"/>
    </row>
    <row r="49" spans="5:5" ht="13" x14ac:dyDescent="0.15">
      <c r="E49" s="50"/>
    </row>
    <row r="50" spans="5:5" ht="13" x14ac:dyDescent="0.15">
      <c r="E50" s="50"/>
    </row>
    <row r="51" spans="5:5" ht="13" x14ac:dyDescent="0.15">
      <c r="E51" s="50"/>
    </row>
    <row r="52" spans="5:5" ht="13" x14ac:dyDescent="0.15">
      <c r="E52" s="52"/>
    </row>
    <row r="53" spans="5:5" ht="13" x14ac:dyDescent="0.15">
      <c r="E53" s="52"/>
    </row>
    <row r="54" spans="5:5" ht="13" x14ac:dyDescent="0.15">
      <c r="E54" s="52"/>
    </row>
    <row r="55" spans="5:5" ht="13" x14ac:dyDescent="0.15">
      <c r="E55" s="52"/>
    </row>
    <row r="56" spans="5:5" ht="13" x14ac:dyDescent="0.15">
      <c r="E56" s="52"/>
    </row>
    <row r="57" spans="5:5" ht="13" x14ac:dyDescent="0.15">
      <c r="E57" s="52"/>
    </row>
    <row r="58" spans="5:5" ht="13" x14ac:dyDescent="0.15">
      <c r="E58" s="52"/>
    </row>
    <row r="59" spans="5:5" ht="13" x14ac:dyDescent="0.15">
      <c r="E59" s="52"/>
    </row>
    <row r="60" spans="5:5" ht="13" x14ac:dyDescent="0.15">
      <c r="E60" s="52"/>
    </row>
    <row r="61" spans="5:5" ht="13" x14ac:dyDescent="0.15">
      <c r="E61" s="52"/>
    </row>
    <row r="62" spans="5:5" ht="13" x14ac:dyDescent="0.15">
      <c r="E62" s="52"/>
    </row>
    <row r="63" spans="5:5" ht="13" x14ac:dyDescent="0.15">
      <c r="E63" s="52"/>
    </row>
    <row r="64" spans="5:5" ht="13" x14ac:dyDescent="0.15">
      <c r="E64" s="52"/>
    </row>
    <row r="65" spans="5:5" ht="13" x14ac:dyDescent="0.15">
      <c r="E65" s="52"/>
    </row>
    <row r="66" spans="5:5" ht="13" x14ac:dyDescent="0.15">
      <c r="E66" s="52"/>
    </row>
    <row r="67" spans="5:5" ht="13" x14ac:dyDescent="0.15">
      <c r="E67" s="52"/>
    </row>
    <row r="68" spans="5:5" ht="13" x14ac:dyDescent="0.15">
      <c r="E68" s="52"/>
    </row>
    <row r="69" spans="5:5" ht="13" x14ac:dyDescent="0.15">
      <c r="E69" s="52"/>
    </row>
    <row r="70" spans="5:5" ht="13" x14ac:dyDescent="0.15">
      <c r="E70" s="52"/>
    </row>
    <row r="71" spans="5:5" ht="13" x14ac:dyDescent="0.15">
      <c r="E71" s="52"/>
    </row>
    <row r="72" spans="5:5" ht="13" x14ac:dyDescent="0.15">
      <c r="E72" s="52"/>
    </row>
    <row r="73" spans="5:5" ht="13" x14ac:dyDescent="0.15">
      <c r="E73" s="52"/>
    </row>
    <row r="74" spans="5:5" ht="13" x14ac:dyDescent="0.15">
      <c r="E74" s="52"/>
    </row>
    <row r="75" spans="5:5" ht="13" x14ac:dyDescent="0.15">
      <c r="E75" s="52"/>
    </row>
    <row r="76" spans="5:5" ht="13" x14ac:dyDescent="0.15">
      <c r="E76" s="52"/>
    </row>
    <row r="77" spans="5:5" ht="13" x14ac:dyDescent="0.15">
      <c r="E77" s="52"/>
    </row>
    <row r="78" spans="5:5" ht="13" x14ac:dyDescent="0.15">
      <c r="E78" s="52"/>
    </row>
    <row r="79" spans="5:5" ht="13" x14ac:dyDescent="0.15">
      <c r="E79" s="52"/>
    </row>
    <row r="80" spans="5:5" ht="13" x14ac:dyDescent="0.15">
      <c r="E80" s="52"/>
    </row>
    <row r="81" spans="5:5" ht="13" x14ac:dyDescent="0.15">
      <c r="E81" s="52"/>
    </row>
    <row r="82" spans="5:5" ht="13" x14ac:dyDescent="0.15">
      <c r="E82" s="52"/>
    </row>
    <row r="83" spans="5:5" ht="13" x14ac:dyDescent="0.15">
      <c r="E83" s="52"/>
    </row>
    <row r="84" spans="5:5" ht="13" x14ac:dyDescent="0.15">
      <c r="E84" s="52"/>
    </row>
    <row r="85" spans="5:5" ht="13" x14ac:dyDescent="0.15">
      <c r="E85" s="52"/>
    </row>
    <row r="86" spans="5:5" ht="13" x14ac:dyDescent="0.15">
      <c r="E86" s="52"/>
    </row>
    <row r="87" spans="5:5" ht="13" x14ac:dyDescent="0.15">
      <c r="E87" s="52"/>
    </row>
    <row r="88" spans="5:5" ht="13" x14ac:dyDescent="0.15">
      <c r="E88" s="52"/>
    </row>
    <row r="89" spans="5:5" ht="13" x14ac:dyDescent="0.15">
      <c r="E89" s="52"/>
    </row>
    <row r="90" spans="5:5" ht="13" x14ac:dyDescent="0.15">
      <c r="E90" s="52"/>
    </row>
    <row r="91" spans="5:5" ht="13" x14ac:dyDescent="0.15">
      <c r="E91" s="52"/>
    </row>
    <row r="92" spans="5:5" ht="13" x14ac:dyDescent="0.15">
      <c r="E92" s="52"/>
    </row>
    <row r="93" spans="5:5" ht="13" x14ac:dyDescent="0.15">
      <c r="E93" s="52"/>
    </row>
    <row r="94" spans="5:5" ht="13" x14ac:dyDescent="0.15">
      <c r="E94" s="52"/>
    </row>
    <row r="95" spans="5:5" ht="13" x14ac:dyDescent="0.15">
      <c r="E95" s="52"/>
    </row>
    <row r="96" spans="5:5" ht="13" x14ac:dyDescent="0.15">
      <c r="E96" s="52"/>
    </row>
    <row r="97" spans="5:5" ht="13" x14ac:dyDescent="0.15">
      <c r="E97" s="52"/>
    </row>
    <row r="98" spans="5:5" ht="13" x14ac:dyDescent="0.15">
      <c r="E98" s="52"/>
    </row>
    <row r="99" spans="5:5" ht="13" x14ac:dyDescent="0.15">
      <c r="E99" s="52"/>
    </row>
    <row r="100" spans="5:5" ht="13" x14ac:dyDescent="0.15">
      <c r="E100" s="52"/>
    </row>
    <row r="101" spans="5:5" ht="13" x14ac:dyDescent="0.15">
      <c r="E101" s="52"/>
    </row>
    <row r="102" spans="5:5" ht="13" x14ac:dyDescent="0.15">
      <c r="E102" s="52"/>
    </row>
    <row r="103" spans="5:5" ht="13" x14ac:dyDescent="0.15">
      <c r="E103" s="52"/>
    </row>
    <row r="104" spans="5:5" ht="13" x14ac:dyDescent="0.15">
      <c r="E104" s="52"/>
    </row>
    <row r="105" spans="5:5" ht="13" x14ac:dyDescent="0.15">
      <c r="E105" s="52"/>
    </row>
    <row r="106" spans="5:5" ht="13" x14ac:dyDescent="0.15">
      <c r="E106" s="52"/>
    </row>
    <row r="107" spans="5:5" ht="13" x14ac:dyDescent="0.15">
      <c r="E107" s="52"/>
    </row>
    <row r="108" spans="5:5" ht="13" x14ac:dyDescent="0.15">
      <c r="E108" s="52"/>
    </row>
    <row r="109" spans="5:5" ht="13" x14ac:dyDescent="0.15">
      <c r="E109" s="52"/>
    </row>
    <row r="110" spans="5:5" ht="13" x14ac:dyDescent="0.15">
      <c r="E110" s="52"/>
    </row>
    <row r="111" spans="5:5" ht="13" x14ac:dyDescent="0.15">
      <c r="E111" s="52"/>
    </row>
    <row r="112" spans="5:5" ht="13" x14ac:dyDescent="0.15">
      <c r="E112" s="52"/>
    </row>
    <row r="113" spans="5:5" ht="13" x14ac:dyDescent="0.15">
      <c r="E113" s="52"/>
    </row>
    <row r="114" spans="5:5" ht="13" x14ac:dyDescent="0.15">
      <c r="E114" s="52"/>
    </row>
    <row r="115" spans="5:5" ht="13" x14ac:dyDescent="0.15">
      <c r="E115" s="52"/>
    </row>
    <row r="116" spans="5:5" ht="13" x14ac:dyDescent="0.15">
      <c r="E116" s="52"/>
    </row>
    <row r="117" spans="5:5" ht="13" x14ac:dyDescent="0.15">
      <c r="E117" s="52"/>
    </row>
    <row r="118" spans="5:5" ht="13" x14ac:dyDescent="0.15">
      <c r="E118" s="52"/>
    </row>
    <row r="119" spans="5:5" ht="13" x14ac:dyDescent="0.15">
      <c r="E119" s="52"/>
    </row>
    <row r="120" spans="5:5" ht="13" x14ac:dyDescent="0.15">
      <c r="E120" s="52"/>
    </row>
    <row r="121" spans="5:5" ht="13" x14ac:dyDescent="0.15">
      <c r="E121" s="52"/>
    </row>
    <row r="122" spans="5:5" ht="13" x14ac:dyDescent="0.15">
      <c r="E122" s="52"/>
    </row>
    <row r="123" spans="5:5" ht="13" x14ac:dyDescent="0.15">
      <c r="E123" s="52"/>
    </row>
    <row r="124" spans="5:5" ht="13" x14ac:dyDescent="0.15">
      <c r="E124" s="52"/>
    </row>
    <row r="125" spans="5:5" ht="13" x14ac:dyDescent="0.15">
      <c r="E125" s="52"/>
    </row>
    <row r="126" spans="5:5" ht="13" x14ac:dyDescent="0.15">
      <c r="E126" s="52"/>
    </row>
    <row r="127" spans="5:5" ht="13" x14ac:dyDescent="0.15">
      <c r="E127" s="52"/>
    </row>
    <row r="128" spans="5:5" ht="13" x14ac:dyDescent="0.15">
      <c r="E128" s="52"/>
    </row>
    <row r="129" spans="5:5" ht="13" x14ac:dyDescent="0.15">
      <c r="E129" s="52"/>
    </row>
    <row r="130" spans="5:5" ht="13" x14ac:dyDescent="0.15">
      <c r="E130" s="52"/>
    </row>
    <row r="131" spans="5:5" ht="13" x14ac:dyDescent="0.15">
      <c r="E131" s="52"/>
    </row>
    <row r="132" spans="5:5" ht="13" x14ac:dyDescent="0.15">
      <c r="E132" s="52"/>
    </row>
    <row r="133" spans="5:5" ht="13" x14ac:dyDescent="0.15">
      <c r="E133" s="52"/>
    </row>
    <row r="134" spans="5:5" ht="13" x14ac:dyDescent="0.15">
      <c r="E134" s="52"/>
    </row>
    <row r="135" spans="5:5" ht="13" x14ac:dyDescent="0.15">
      <c r="E135" s="52"/>
    </row>
    <row r="136" spans="5:5" ht="13" x14ac:dyDescent="0.15">
      <c r="E136" s="52"/>
    </row>
    <row r="137" spans="5:5" ht="13" x14ac:dyDescent="0.15">
      <c r="E137" s="52"/>
    </row>
    <row r="138" spans="5:5" ht="13" x14ac:dyDescent="0.15">
      <c r="E138" s="52"/>
    </row>
    <row r="139" spans="5:5" ht="13" x14ac:dyDescent="0.15">
      <c r="E139" s="52"/>
    </row>
    <row r="140" spans="5:5" ht="13" x14ac:dyDescent="0.15">
      <c r="E140" s="52"/>
    </row>
    <row r="141" spans="5:5" ht="13" x14ac:dyDescent="0.15">
      <c r="E141" s="52"/>
    </row>
    <row r="142" spans="5:5" ht="13" x14ac:dyDescent="0.15">
      <c r="E142" s="52"/>
    </row>
    <row r="143" spans="5:5" ht="13" x14ac:dyDescent="0.15">
      <c r="E143" s="52"/>
    </row>
    <row r="144" spans="5:5" ht="13" x14ac:dyDescent="0.15">
      <c r="E144" s="52"/>
    </row>
    <row r="145" spans="5:5" ht="13" x14ac:dyDescent="0.15">
      <c r="E145" s="52"/>
    </row>
    <row r="146" spans="5:5" ht="13" x14ac:dyDescent="0.15">
      <c r="E146" s="52"/>
    </row>
    <row r="147" spans="5:5" ht="13" x14ac:dyDescent="0.15">
      <c r="E147" s="52"/>
    </row>
    <row r="148" spans="5:5" ht="13" x14ac:dyDescent="0.15">
      <c r="E148" s="52"/>
    </row>
    <row r="149" spans="5:5" ht="13" x14ac:dyDescent="0.15">
      <c r="E149" s="52"/>
    </row>
    <row r="150" spans="5:5" ht="13" x14ac:dyDescent="0.15">
      <c r="E150" s="52"/>
    </row>
    <row r="151" spans="5:5" ht="13" x14ac:dyDescent="0.15">
      <c r="E151" s="52"/>
    </row>
    <row r="152" spans="5:5" ht="13" x14ac:dyDescent="0.15">
      <c r="E152" s="52"/>
    </row>
    <row r="153" spans="5:5" ht="13" x14ac:dyDescent="0.15">
      <c r="E153" s="52"/>
    </row>
    <row r="154" spans="5:5" ht="13" x14ac:dyDescent="0.15">
      <c r="E154" s="52"/>
    </row>
    <row r="155" spans="5:5" ht="13" x14ac:dyDescent="0.15">
      <c r="E155" s="52"/>
    </row>
    <row r="156" spans="5:5" ht="13" x14ac:dyDescent="0.15">
      <c r="E156" s="52"/>
    </row>
    <row r="157" spans="5:5" ht="13" x14ac:dyDescent="0.15">
      <c r="E157" s="52"/>
    </row>
    <row r="158" spans="5:5" ht="13" x14ac:dyDescent="0.15">
      <c r="E158" s="52"/>
    </row>
    <row r="159" spans="5:5" ht="13" x14ac:dyDescent="0.15">
      <c r="E159" s="52"/>
    </row>
    <row r="160" spans="5:5" ht="13" x14ac:dyDescent="0.15">
      <c r="E160" s="52"/>
    </row>
    <row r="161" spans="5:5" ht="13" x14ac:dyDescent="0.15">
      <c r="E161" s="52"/>
    </row>
    <row r="162" spans="5:5" ht="13" x14ac:dyDescent="0.15">
      <c r="E162" s="52"/>
    </row>
    <row r="163" spans="5:5" ht="13" x14ac:dyDescent="0.15">
      <c r="E163" s="52"/>
    </row>
    <row r="164" spans="5:5" ht="13" x14ac:dyDescent="0.15">
      <c r="E164" s="52"/>
    </row>
    <row r="165" spans="5:5" ht="13" x14ac:dyDescent="0.15">
      <c r="E165" s="52"/>
    </row>
    <row r="166" spans="5:5" ht="13" x14ac:dyDescent="0.15">
      <c r="E166" s="52"/>
    </row>
    <row r="167" spans="5:5" ht="13" x14ac:dyDescent="0.15">
      <c r="E167" s="52"/>
    </row>
    <row r="168" spans="5:5" ht="13" x14ac:dyDescent="0.15">
      <c r="E168" s="52"/>
    </row>
    <row r="169" spans="5:5" ht="13" x14ac:dyDescent="0.15">
      <c r="E169" s="52"/>
    </row>
    <row r="170" spans="5:5" ht="13" x14ac:dyDescent="0.15">
      <c r="E170" s="52"/>
    </row>
    <row r="171" spans="5:5" ht="13" x14ac:dyDescent="0.15">
      <c r="E171" s="52"/>
    </row>
    <row r="172" spans="5:5" ht="13" x14ac:dyDescent="0.15">
      <c r="E172" s="52"/>
    </row>
    <row r="173" spans="5:5" ht="13" x14ac:dyDescent="0.15">
      <c r="E173" s="52"/>
    </row>
    <row r="174" spans="5:5" ht="13" x14ac:dyDescent="0.15">
      <c r="E174" s="52"/>
    </row>
    <row r="175" spans="5:5" ht="13" x14ac:dyDescent="0.15">
      <c r="E175" s="52"/>
    </row>
    <row r="176" spans="5:5" ht="13" x14ac:dyDescent="0.15">
      <c r="E176" s="52"/>
    </row>
    <row r="177" spans="5:5" ht="13" x14ac:dyDescent="0.15">
      <c r="E177" s="52"/>
    </row>
    <row r="178" spans="5:5" ht="13" x14ac:dyDescent="0.15">
      <c r="E178" s="52"/>
    </row>
    <row r="179" spans="5:5" ht="13" x14ac:dyDescent="0.15">
      <c r="E179" s="52"/>
    </row>
    <row r="180" spans="5:5" ht="13" x14ac:dyDescent="0.15">
      <c r="E180" s="52"/>
    </row>
    <row r="181" spans="5:5" ht="13" x14ac:dyDescent="0.15">
      <c r="E181" s="52"/>
    </row>
    <row r="182" spans="5:5" ht="13" x14ac:dyDescent="0.15">
      <c r="E182" s="52"/>
    </row>
    <row r="183" spans="5:5" ht="13" x14ac:dyDescent="0.15">
      <c r="E183" s="52"/>
    </row>
    <row r="184" spans="5:5" ht="13" x14ac:dyDescent="0.15">
      <c r="E184" s="52"/>
    </row>
    <row r="185" spans="5:5" ht="13" x14ac:dyDescent="0.15">
      <c r="E185" s="52"/>
    </row>
    <row r="186" spans="5:5" ht="13" x14ac:dyDescent="0.15">
      <c r="E186" s="52"/>
    </row>
    <row r="187" spans="5:5" ht="13" x14ac:dyDescent="0.15">
      <c r="E187" s="52"/>
    </row>
    <row r="188" spans="5:5" ht="13" x14ac:dyDescent="0.15">
      <c r="E188" s="52"/>
    </row>
    <row r="189" spans="5:5" ht="13" x14ac:dyDescent="0.15">
      <c r="E189" s="52"/>
    </row>
    <row r="190" spans="5:5" ht="13" x14ac:dyDescent="0.15">
      <c r="E190" s="52"/>
    </row>
    <row r="191" spans="5:5" ht="13" x14ac:dyDescent="0.15">
      <c r="E191" s="52"/>
    </row>
    <row r="192" spans="5:5" ht="13" x14ac:dyDescent="0.15">
      <c r="E192" s="52"/>
    </row>
    <row r="193" spans="5:5" ht="13" x14ac:dyDescent="0.15">
      <c r="E193" s="52"/>
    </row>
    <row r="194" spans="5:5" ht="13" x14ac:dyDescent="0.15">
      <c r="E194" s="52"/>
    </row>
    <row r="195" spans="5:5" ht="13" x14ac:dyDescent="0.15">
      <c r="E195" s="52"/>
    </row>
    <row r="196" spans="5:5" ht="13" x14ac:dyDescent="0.15">
      <c r="E196" s="52"/>
    </row>
    <row r="197" spans="5:5" ht="13" x14ac:dyDescent="0.15">
      <c r="E197" s="52"/>
    </row>
    <row r="198" spans="5:5" ht="13" x14ac:dyDescent="0.15">
      <c r="E198" s="52"/>
    </row>
    <row r="199" spans="5:5" ht="13" x14ac:dyDescent="0.15">
      <c r="E199" s="52"/>
    </row>
    <row r="200" spans="5:5" ht="13" x14ac:dyDescent="0.15">
      <c r="E200" s="52"/>
    </row>
    <row r="201" spans="5:5" ht="13" x14ac:dyDescent="0.15">
      <c r="E201" s="52"/>
    </row>
    <row r="202" spans="5:5" ht="13" x14ac:dyDescent="0.15">
      <c r="E202" s="52"/>
    </row>
    <row r="203" spans="5:5" ht="13" x14ac:dyDescent="0.15">
      <c r="E203" s="52"/>
    </row>
    <row r="204" spans="5:5" ht="13" x14ac:dyDescent="0.15">
      <c r="E204" s="52"/>
    </row>
    <row r="205" spans="5:5" ht="13" x14ac:dyDescent="0.15">
      <c r="E205" s="52"/>
    </row>
    <row r="206" spans="5:5" ht="13" x14ac:dyDescent="0.15">
      <c r="E206" s="52"/>
    </row>
    <row r="207" spans="5:5" ht="13" x14ac:dyDescent="0.15">
      <c r="E207" s="52"/>
    </row>
    <row r="208" spans="5:5" ht="13" x14ac:dyDescent="0.15">
      <c r="E208" s="52"/>
    </row>
    <row r="209" spans="5:5" ht="13" x14ac:dyDescent="0.15">
      <c r="E209" s="52"/>
    </row>
    <row r="210" spans="5:5" ht="13" x14ac:dyDescent="0.15">
      <c r="E210" s="52"/>
    </row>
    <row r="211" spans="5:5" ht="13" x14ac:dyDescent="0.15">
      <c r="E211" s="52"/>
    </row>
    <row r="212" spans="5:5" ht="13" x14ac:dyDescent="0.15">
      <c r="E212" s="52"/>
    </row>
    <row r="213" spans="5:5" ht="13" x14ac:dyDescent="0.15">
      <c r="E213" s="52"/>
    </row>
    <row r="214" spans="5:5" ht="13" x14ac:dyDescent="0.15">
      <c r="E214" s="52"/>
    </row>
    <row r="215" spans="5:5" ht="13" x14ac:dyDescent="0.15">
      <c r="E215" s="52"/>
    </row>
    <row r="216" spans="5:5" ht="13" x14ac:dyDescent="0.15">
      <c r="E216" s="52"/>
    </row>
    <row r="217" spans="5:5" ht="13" x14ac:dyDescent="0.15">
      <c r="E217" s="52"/>
    </row>
    <row r="218" spans="5:5" ht="13" x14ac:dyDescent="0.15">
      <c r="E218" s="52"/>
    </row>
    <row r="219" spans="5:5" ht="13" x14ac:dyDescent="0.15">
      <c r="E219" s="52"/>
    </row>
    <row r="220" spans="5:5" ht="13" x14ac:dyDescent="0.15">
      <c r="E220" s="52"/>
    </row>
    <row r="221" spans="5:5" ht="13" x14ac:dyDescent="0.15">
      <c r="E221" s="52"/>
    </row>
    <row r="222" spans="5:5" ht="13" x14ac:dyDescent="0.15">
      <c r="E222" s="52"/>
    </row>
    <row r="223" spans="5:5" ht="13" x14ac:dyDescent="0.15">
      <c r="E223" s="52"/>
    </row>
    <row r="224" spans="5:5" ht="13" x14ac:dyDescent="0.15">
      <c r="E224" s="52"/>
    </row>
    <row r="225" spans="5:5" ht="13" x14ac:dyDescent="0.15">
      <c r="E225" s="52"/>
    </row>
    <row r="226" spans="5:5" ht="13" x14ac:dyDescent="0.15">
      <c r="E226" s="52"/>
    </row>
    <row r="227" spans="5:5" ht="13" x14ac:dyDescent="0.15">
      <c r="E227" s="52"/>
    </row>
    <row r="228" spans="5:5" ht="13" x14ac:dyDescent="0.15">
      <c r="E228" s="52"/>
    </row>
    <row r="229" spans="5:5" ht="13" x14ac:dyDescent="0.15">
      <c r="E229" s="52"/>
    </row>
    <row r="230" spans="5:5" ht="13" x14ac:dyDescent="0.15">
      <c r="E230" s="52"/>
    </row>
    <row r="231" spans="5:5" ht="13" x14ac:dyDescent="0.15">
      <c r="E231" s="52"/>
    </row>
    <row r="232" spans="5:5" ht="13" x14ac:dyDescent="0.15">
      <c r="E232" s="52"/>
    </row>
    <row r="233" spans="5:5" ht="13" x14ac:dyDescent="0.15">
      <c r="E233" s="52"/>
    </row>
    <row r="234" spans="5:5" ht="13" x14ac:dyDescent="0.15">
      <c r="E234" s="52"/>
    </row>
    <row r="235" spans="5:5" ht="13" x14ac:dyDescent="0.15">
      <c r="E235" s="52"/>
    </row>
    <row r="236" spans="5:5" ht="13" x14ac:dyDescent="0.15">
      <c r="E236" s="52"/>
    </row>
    <row r="237" spans="5:5" ht="13" x14ac:dyDescent="0.15">
      <c r="E237" s="52"/>
    </row>
    <row r="238" spans="5:5" ht="13" x14ac:dyDescent="0.15">
      <c r="E238" s="52"/>
    </row>
    <row r="239" spans="5:5" ht="13" x14ac:dyDescent="0.15">
      <c r="E239" s="52"/>
    </row>
    <row r="240" spans="5:5" ht="13" x14ac:dyDescent="0.15">
      <c r="E240" s="52"/>
    </row>
    <row r="241" spans="5:5" ht="13" x14ac:dyDescent="0.15">
      <c r="E241" s="52"/>
    </row>
    <row r="242" spans="5:5" ht="13" x14ac:dyDescent="0.15">
      <c r="E242" s="52"/>
    </row>
    <row r="243" spans="5:5" ht="13" x14ac:dyDescent="0.15">
      <c r="E243" s="52"/>
    </row>
    <row r="244" spans="5:5" ht="13" x14ac:dyDescent="0.15">
      <c r="E244" s="52"/>
    </row>
    <row r="245" spans="5:5" ht="13" x14ac:dyDescent="0.15">
      <c r="E245" s="52"/>
    </row>
    <row r="246" spans="5:5" ht="13" x14ac:dyDescent="0.15">
      <c r="E246" s="52"/>
    </row>
    <row r="247" spans="5:5" ht="13" x14ac:dyDescent="0.15">
      <c r="E247" s="52"/>
    </row>
    <row r="248" spans="5:5" ht="13" x14ac:dyDescent="0.15">
      <c r="E248" s="52"/>
    </row>
    <row r="249" spans="5:5" ht="13" x14ac:dyDescent="0.15">
      <c r="E249" s="52"/>
    </row>
    <row r="250" spans="5:5" ht="13" x14ac:dyDescent="0.15">
      <c r="E250" s="52"/>
    </row>
    <row r="251" spans="5:5" ht="13" x14ac:dyDescent="0.15">
      <c r="E251" s="52"/>
    </row>
    <row r="252" spans="5:5" ht="13" x14ac:dyDescent="0.15">
      <c r="E252" s="52"/>
    </row>
    <row r="253" spans="5:5" ht="13" x14ac:dyDescent="0.15">
      <c r="E253" s="52"/>
    </row>
    <row r="254" spans="5:5" ht="13" x14ac:dyDescent="0.15">
      <c r="E254" s="52"/>
    </row>
    <row r="255" spans="5:5" ht="13" x14ac:dyDescent="0.15">
      <c r="E255" s="52"/>
    </row>
    <row r="256" spans="5:5" ht="13" x14ac:dyDescent="0.15">
      <c r="E256" s="52"/>
    </row>
    <row r="257" spans="5:5" ht="13" x14ac:dyDescent="0.15">
      <c r="E257" s="52"/>
    </row>
    <row r="258" spans="5:5" ht="13" x14ac:dyDescent="0.15">
      <c r="E258" s="52"/>
    </row>
    <row r="259" spans="5:5" ht="13" x14ac:dyDescent="0.15">
      <c r="E259" s="52"/>
    </row>
    <row r="260" spans="5:5" ht="13" x14ac:dyDescent="0.15">
      <c r="E260" s="52"/>
    </row>
    <row r="261" spans="5:5" ht="13" x14ac:dyDescent="0.15">
      <c r="E261" s="52"/>
    </row>
    <row r="262" spans="5:5" ht="13" x14ac:dyDescent="0.15">
      <c r="E262" s="52"/>
    </row>
    <row r="263" spans="5:5" ht="13" x14ac:dyDescent="0.15">
      <c r="E263" s="52"/>
    </row>
    <row r="264" spans="5:5" ht="13" x14ac:dyDescent="0.15">
      <c r="E264" s="52"/>
    </row>
    <row r="265" spans="5:5" ht="13" x14ac:dyDescent="0.15">
      <c r="E265" s="52"/>
    </row>
    <row r="266" spans="5:5" ht="13" x14ac:dyDescent="0.15">
      <c r="E266" s="52"/>
    </row>
    <row r="267" spans="5:5" ht="13" x14ac:dyDescent="0.15">
      <c r="E267" s="52"/>
    </row>
    <row r="268" spans="5:5" ht="13" x14ac:dyDescent="0.15">
      <c r="E268" s="52"/>
    </row>
    <row r="269" spans="5:5" ht="13" x14ac:dyDescent="0.15">
      <c r="E269" s="52"/>
    </row>
    <row r="270" spans="5:5" ht="13" x14ac:dyDescent="0.15">
      <c r="E270" s="52"/>
    </row>
    <row r="271" spans="5:5" ht="13" x14ac:dyDescent="0.15">
      <c r="E271" s="52"/>
    </row>
    <row r="272" spans="5:5" ht="13" x14ac:dyDescent="0.15">
      <c r="E272" s="52"/>
    </row>
    <row r="273" spans="5:5" ht="13" x14ac:dyDescent="0.15">
      <c r="E273" s="52"/>
    </row>
    <row r="274" spans="5:5" ht="13" x14ac:dyDescent="0.15">
      <c r="E274" s="52"/>
    </row>
    <row r="275" spans="5:5" ht="13" x14ac:dyDescent="0.15">
      <c r="E275" s="52"/>
    </row>
    <row r="276" spans="5:5" ht="13" x14ac:dyDescent="0.15">
      <c r="E276" s="52"/>
    </row>
    <row r="277" spans="5:5" ht="13" x14ac:dyDescent="0.15">
      <c r="E277" s="52"/>
    </row>
    <row r="278" spans="5:5" ht="13" x14ac:dyDescent="0.15">
      <c r="E278" s="52"/>
    </row>
    <row r="279" spans="5:5" ht="13" x14ac:dyDescent="0.15">
      <c r="E279" s="52"/>
    </row>
    <row r="280" spans="5:5" ht="13" x14ac:dyDescent="0.15">
      <c r="E280" s="52"/>
    </row>
    <row r="281" spans="5:5" ht="13" x14ac:dyDescent="0.15">
      <c r="E281" s="52"/>
    </row>
    <row r="282" spans="5:5" ht="13" x14ac:dyDescent="0.15">
      <c r="E282" s="52"/>
    </row>
    <row r="283" spans="5:5" ht="13" x14ac:dyDescent="0.15">
      <c r="E283" s="52"/>
    </row>
    <row r="284" spans="5:5" ht="13" x14ac:dyDescent="0.15">
      <c r="E284" s="52"/>
    </row>
    <row r="285" spans="5:5" ht="13" x14ac:dyDescent="0.15">
      <c r="E285" s="52"/>
    </row>
    <row r="286" spans="5:5" ht="13" x14ac:dyDescent="0.15">
      <c r="E286" s="52"/>
    </row>
    <row r="287" spans="5:5" ht="13" x14ac:dyDescent="0.15">
      <c r="E287" s="52"/>
    </row>
    <row r="288" spans="5:5" ht="13" x14ac:dyDescent="0.15">
      <c r="E288" s="52"/>
    </row>
    <row r="289" spans="5:5" ht="13" x14ac:dyDescent="0.15">
      <c r="E289" s="52"/>
    </row>
    <row r="290" spans="5:5" ht="13" x14ac:dyDescent="0.15">
      <c r="E290" s="52"/>
    </row>
    <row r="291" spans="5:5" ht="13" x14ac:dyDescent="0.15">
      <c r="E291" s="52"/>
    </row>
    <row r="292" spans="5:5" ht="13" x14ac:dyDescent="0.15">
      <c r="E292" s="52"/>
    </row>
    <row r="293" spans="5:5" ht="13" x14ac:dyDescent="0.15">
      <c r="E293" s="52"/>
    </row>
    <row r="294" spans="5:5" ht="13" x14ac:dyDescent="0.15">
      <c r="E294" s="52"/>
    </row>
    <row r="295" spans="5:5" ht="13" x14ac:dyDescent="0.15">
      <c r="E295" s="52"/>
    </row>
    <row r="296" spans="5:5" ht="13" x14ac:dyDescent="0.15">
      <c r="E296" s="52"/>
    </row>
    <row r="297" spans="5:5" ht="13" x14ac:dyDescent="0.15">
      <c r="E297" s="52"/>
    </row>
    <row r="298" spans="5:5" ht="13" x14ac:dyDescent="0.15">
      <c r="E298" s="52"/>
    </row>
    <row r="299" spans="5:5" ht="13" x14ac:dyDescent="0.15">
      <c r="E299" s="52"/>
    </row>
    <row r="300" spans="5:5" ht="13" x14ac:dyDescent="0.15">
      <c r="E300" s="52"/>
    </row>
    <row r="301" spans="5:5" ht="13" x14ac:dyDescent="0.15">
      <c r="E301" s="52"/>
    </row>
    <row r="302" spans="5:5" ht="13" x14ac:dyDescent="0.15">
      <c r="E302" s="52"/>
    </row>
    <row r="303" spans="5:5" ht="13" x14ac:dyDescent="0.15">
      <c r="E303" s="52"/>
    </row>
    <row r="304" spans="5:5" ht="13" x14ac:dyDescent="0.15">
      <c r="E304" s="52"/>
    </row>
    <row r="305" spans="5:5" ht="13" x14ac:dyDescent="0.15">
      <c r="E305" s="52"/>
    </row>
    <row r="306" spans="5:5" ht="13" x14ac:dyDescent="0.15">
      <c r="E306" s="52"/>
    </row>
    <row r="307" spans="5:5" ht="13" x14ac:dyDescent="0.15">
      <c r="E307" s="52"/>
    </row>
    <row r="308" spans="5:5" ht="13" x14ac:dyDescent="0.15">
      <c r="E308" s="52"/>
    </row>
    <row r="309" spans="5:5" ht="13" x14ac:dyDescent="0.15">
      <c r="E309" s="52"/>
    </row>
    <row r="310" spans="5:5" ht="13" x14ac:dyDescent="0.15">
      <c r="E310" s="52"/>
    </row>
    <row r="311" spans="5:5" ht="13" x14ac:dyDescent="0.15">
      <c r="E311" s="52"/>
    </row>
    <row r="312" spans="5:5" ht="13" x14ac:dyDescent="0.15">
      <c r="E312" s="52"/>
    </row>
    <row r="313" spans="5:5" ht="13" x14ac:dyDescent="0.15">
      <c r="E313" s="52"/>
    </row>
    <row r="314" spans="5:5" ht="13" x14ac:dyDescent="0.15">
      <c r="E314" s="52"/>
    </row>
    <row r="315" spans="5:5" ht="13" x14ac:dyDescent="0.15">
      <c r="E315" s="52"/>
    </row>
    <row r="316" spans="5:5" ht="13" x14ac:dyDescent="0.15">
      <c r="E316" s="52"/>
    </row>
    <row r="317" spans="5:5" ht="13" x14ac:dyDescent="0.15">
      <c r="E317" s="52"/>
    </row>
    <row r="318" spans="5:5" ht="13" x14ac:dyDescent="0.15">
      <c r="E318" s="52"/>
    </row>
    <row r="319" spans="5:5" ht="13" x14ac:dyDescent="0.15">
      <c r="E319" s="52"/>
    </row>
    <row r="320" spans="5:5" ht="13" x14ac:dyDescent="0.15">
      <c r="E320" s="52"/>
    </row>
    <row r="321" spans="5:5" ht="13" x14ac:dyDescent="0.15">
      <c r="E321" s="52"/>
    </row>
    <row r="322" spans="5:5" ht="13" x14ac:dyDescent="0.15">
      <c r="E322" s="52"/>
    </row>
    <row r="323" spans="5:5" ht="13" x14ac:dyDescent="0.15">
      <c r="E323" s="52"/>
    </row>
    <row r="324" spans="5:5" ht="13" x14ac:dyDescent="0.15">
      <c r="E324" s="52"/>
    </row>
    <row r="325" spans="5:5" ht="13" x14ac:dyDescent="0.15">
      <c r="E325" s="52"/>
    </row>
    <row r="326" spans="5:5" ht="13" x14ac:dyDescent="0.15">
      <c r="E326" s="52"/>
    </row>
    <row r="327" spans="5:5" ht="13" x14ac:dyDescent="0.15">
      <c r="E327" s="52"/>
    </row>
    <row r="328" spans="5:5" ht="13" x14ac:dyDescent="0.15">
      <c r="E328" s="52"/>
    </row>
    <row r="329" spans="5:5" ht="13" x14ac:dyDescent="0.15">
      <c r="E329" s="52"/>
    </row>
    <row r="330" spans="5:5" ht="13" x14ac:dyDescent="0.15">
      <c r="E330" s="52"/>
    </row>
    <row r="331" spans="5:5" ht="13" x14ac:dyDescent="0.15">
      <c r="E331" s="52"/>
    </row>
    <row r="332" spans="5:5" ht="13" x14ac:dyDescent="0.15">
      <c r="E332" s="52"/>
    </row>
    <row r="333" spans="5:5" ht="13" x14ac:dyDescent="0.15">
      <c r="E333" s="52"/>
    </row>
    <row r="334" spans="5:5" ht="13" x14ac:dyDescent="0.15">
      <c r="E334" s="52"/>
    </row>
    <row r="335" spans="5:5" ht="13" x14ac:dyDescent="0.15">
      <c r="E335" s="52"/>
    </row>
    <row r="336" spans="5:5" ht="13" x14ac:dyDescent="0.15">
      <c r="E336" s="52"/>
    </row>
    <row r="337" spans="5:5" ht="13" x14ac:dyDescent="0.15">
      <c r="E337" s="52"/>
    </row>
    <row r="338" spans="5:5" ht="13" x14ac:dyDescent="0.15">
      <c r="E338" s="52"/>
    </row>
    <row r="339" spans="5:5" ht="13" x14ac:dyDescent="0.15">
      <c r="E339" s="52"/>
    </row>
    <row r="340" spans="5:5" ht="13" x14ac:dyDescent="0.15">
      <c r="E340" s="52"/>
    </row>
    <row r="341" spans="5:5" ht="13" x14ac:dyDescent="0.15">
      <c r="E341" s="52"/>
    </row>
    <row r="342" spans="5:5" ht="13" x14ac:dyDescent="0.15">
      <c r="E342" s="52"/>
    </row>
    <row r="343" spans="5:5" ht="13" x14ac:dyDescent="0.15">
      <c r="E343" s="52"/>
    </row>
    <row r="344" spans="5:5" ht="13" x14ac:dyDescent="0.15">
      <c r="E344" s="52"/>
    </row>
    <row r="345" spans="5:5" ht="13" x14ac:dyDescent="0.15">
      <c r="E345" s="52"/>
    </row>
    <row r="346" spans="5:5" ht="13" x14ac:dyDescent="0.15">
      <c r="E346" s="52"/>
    </row>
    <row r="347" spans="5:5" ht="13" x14ac:dyDescent="0.15">
      <c r="E347" s="52"/>
    </row>
    <row r="348" spans="5:5" ht="13" x14ac:dyDescent="0.15">
      <c r="E348" s="52"/>
    </row>
    <row r="349" spans="5:5" ht="13" x14ac:dyDescent="0.15">
      <c r="E349" s="52"/>
    </row>
    <row r="350" spans="5:5" ht="13" x14ac:dyDescent="0.15">
      <c r="E350" s="52"/>
    </row>
    <row r="351" spans="5:5" ht="13" x14ac:dyDescent="0.15">
      <c r="E351" s="52"/>
    </row>
    <row r="352" spans="5:5" ht="13" x14ac:dyDescent="0.15">
      <c r="E352" s="52"/>
    </row>
    <row r="353" spans="5:5" ht="13" x14ac:dyDescent="0.15">
      <c r="E353" s="52"/>
    </row>
    <row r="354" spans="5:5" ht="13" x14ac:dyDescent="0.15">
      <c r="E354" s="52"/>
    </row>
    <row r="355" spans="5:5" ht="13" x14ac:dyDescent="0.15">
      <c r="E355" s="52"/>
    </row>
    <row r="356" spans="5:5" ht="13" x14ac:dyDescent="0.15">
      <c r="E356" s="52"/>
    </row>
    <row r="357" spans="5:5" ht="13" x14ac:dyDescent="0.15">
      <c r="E357" s="52"/>
    </row>
    <row r="358" spans="5:5" ht="13" x14ac:dyDescent="0.15">
      <c r="E358" s="52"/>
    </row>
    <row r="359" spans="5:5" ht="13" x14ac:dyDescent="0.15">
      <c r="E359" s="52"/>
    </row>
    <row r="360" spans="5:5" ht="13" x14ac:dyDescent="0.15">
      <c r="E360" s="52"/>
    </row>
    <row r="361" spans="5:5" ht="13" x14ac:dyDescent="0.15">
      <c r="E361" s="52"/>
    </row>
    <row r="362" spans="5:5" ht="13" x14ac:dyDescent="0.15">
      <c r="E362" s="52"/>
    </row>
    <row r="363" spans="5:5" ht="13" x14ac:dyDescent="0.15">
      <c r="E363" s="52"/>
    </row>
    <row r="364" spans="5:5" ht="13" x14ac:dyDescent="0.15">
      <c r="E364" s="52"/>
    </row>
    <row r="365" spans="5:5" ht="13" x14ac:dyDescent="0.15">
      <c r="E365" s="52"/>
    </row>
    <row r="366" spans="5:5" ht="13" x14ac:dyDescent="0.15">
      <c r="E366" s="52"/>
    </row>
    <row r="367" spans="5:5" ht="13" x14ac:dyDescent="0.15">
      <c r="E367" s="52"/>
    </row>
    <row r="368" spans="5:5" ht="13" x14ac:dyDescent="0.15">
      <c r="E368" s="52"/>
    </row>
    <row r="369" spans="5:5" ht="13" x14ac:dyDescent="0.15">
      <c r="E369" s="52"/>
    </row>
    <row r="370" spans="5:5" ht="13" x14ac:dyDescent="0.15">
      <c r="E370" s="52"/>
    </row>
    <row r="371" spans="5:5" ht="13" x14ac:dyDescent="0.15">
      <c r="E371" s="52"/>
    </row>
    <row r="372" spans="5:5" ht="13" x14ac:dyDescent="0.15">
      <c r="E372" s="52"/>
    </row>
    <row r="373" spans="5:5" ht="13" x14ac:dyDescent="0.15">
      <c r="E373" s="52"/>
    </row>
    <row r="374" spans="5:5" ht="13" x14ac:dyDescent="0.15">
      <c r="E374" s="52"/>
    </row>
    <row r="375" spans="5:5" ht="13" x14ac:dyDescent="0.15">
      <c r="E375" s="52"/>
    </row>
    <row r="376" spans="5:5" ht="13" x14ac:dyDescent="0.15">
      <c r="E376" s="52"/>
    </row>
    <row r="377" spans="5:5" ht="13" x14ac:dyDescent="0.15">
      <c r="E377" s="52"/>
    </row>
    <row r="378" spans="5:5" ht="13" x14ac:dyDescent="0.15">
      <c r="E378" s="52"/>
    </row>
    <row r="379" spans="5:5" ht="13" x14ac:dyDescent="0.15">
      <c r="E379" s="52"/>
    </row>
    <row r="380" spans="5:5" ht="13" x14ac:dyDescent="0.15">
      <c r="E380" s="52"/>
    </row>
    <row r="381" spans="5:5" ht="13" x14ac:dyDescent="0.15">
      <c r="E381" s="52"/>
    </row>
    <row r="382" spans="5:5" ht="13" x14ac:dyDescent="0.15">
      <c r="E382" s="52"/>
    </row>
    <row r="383" spans="5:5" ht="13" x14ac:dyDescent="0.15">
      <c r="E383" s="52"/>
    </row>
    <row r="384" spans="5:5" ht="13" x14ac:dyDescent="0.15">
      <c r="E384" s="52"/>
    </row>
    <row r="385" spans="5:5" ht="13" x14ac:dyDescent="0.15">
      <c r="E385" s="52"/>
    </row>
    <row r="386" spans="5:5" ht="13" x14ac:dyDescent="0.15">
      <c r="E386" s="52"/>
    </row>
    <row r="387" spans="5:5" ht="13" x14ac:dyDescent="0.15">
      <c r="E387" s="52"/>
    </row>
    <row r="388" spans="5:5" ht="13" x14ac:dyDescent="0.15">
      <c r="E388" s="52"/>
    </row>
    <row r="389" spans="5:5" ht="13" x14ac:dyDescent="0.15">
      <c r="E389" s="52"/>
    </row>
    <row r="390" spans="5:5" ht="13" x14ac:dyDescent="0.15">
      <c r="E390" s="52"/>
    </row>
    <row r="391" spans="5:5" ht="13" x14ac:dyDescent="0.15">
      <c r="E391" s="52"/>
    </row>
    <row r="392" spans="5:5" ht="13" x14ac:dyDescent="0.15">
      <c r="E392" s="52"/>
    </row>
    <row r="393" spans="5:5" ht="13" x14ac:dyDescent="0.15">
      <c r="E393" s="52"/>
    </row>
    <row r="394" spans="5:5" ht="13" x14ac:dyDescent="0.15">
      <c r="E394" s="52"/>
    </row>
    <row r="395" spans="5:5" ht="13" x14ac:dyDescent="0.15">
      <c r="E395" s="52"/>
    </row>
    <row r="396" spans="5:5" ht="13" x14ac:dyDescent="0.15">
      <c r="E396" s="52"/>
    </row>
    <row r="397" spans="5:5" ht="13" x14ac:dyDescent="0.15">
      <c r="E397" s="52"/>
    </row>
    <row r="398" spans="5:5" ht="13" x14ac:dyDescent="0.15">
      <c r="E398" s="52"/>
    </row>
    <row r="399" spans="5:5" ht="13" x14ac:dyDescent="0.15">
      <c r="E399" s="52"/>
    </row>
    <row r="400" spans="5:5" ht="13" x14ac:dyDescent="0.15">
      <c r="E400" s="52"/>
    </row>
    <row r="401" spans="5:5" ht="13" x14ac:dyDescent="0.15">
      <c r="E401" s="52"/>
    </row>
    <row r="402" spans="5:5" ht="13" x14ac:dyDescent="0.15">
      <c r="E402" s="52"/>
    </row>
    <row r="403" spans="5:5" ht="13" x14ac:dyDescent="0.15">
      <c r="E403" s="52"/>
    </row>
    <row r="404" spans="5:5" ht="13" x14ac:dyDescent="0.15">
      <c r="E404" s="52"/>
    </row>
    <row r="405" spans="5:5" ht="13" x14ac:dyDescent="0.15">
      <c r="E405" s="52"/>
    </row>
    <row r="406" spans="5:5" ht="13" x14ac:dyDescent="0.15">
      <c r="E406" s="52"/>
    </row>
    <row r="407" spans="5:5" ht="13" x14ac:dyDescent="0.15">
      <c r="E407" s="52"/>
    </row>
    <row r="408" spans="5:5" ht="13" x14ac:dyDescent="0.15">
      <c r="E408" s="52"/>
    </row>
    <row r="409" spans="5:5" ht="13" x14ac:dyDescent="0.15">
      <c r="E409" s="52"/>
    </row>
    <row r="410" spans="5:5" ht="13" x14ac:dyDescent="0.15">
      <c r="E410" s="52"/>
    </row>
    <row r="411" spans="5:5" ht="13" x14ac:dyDescent="0.15">
      <c r="E411" s="52"/>
    </row>
    <row r="412" spans="5:5" ht="13" x14ac:dyDescent="0.15">
      <c r="E412" s="52"/>
    </row>
    <row r="413" spans="5:5" ht="13" x14ac:dyDescent="0.15">
      <c r="E413" s="52"/>
    </row>
    <row r="414" spans="5:5" ht="13" x14ac:dyDescent="0.15">
      <c r="E414" s="52"/>
    </row>
    <row r="415" spans="5:5" ht="13" x14ac:dyDescent="0.15">
      <c r="E415" s="52"/>
    </row>
    <row r="416" spans="5:5" ht="13" x14ac:dyDescent="0.15">
      <c r="E416" s="52"/>
    </row>
    <row r="417" spans="5:5" ht="13" x14ac:dyDescent="0.15">
      <c r="E417" s="52"/>
    </row>
    <row r="418" spans="5:5" ht="13" x14ac:dyDescent="0.15">
      <c r="E418" s="52"/>
    </row>
    <row r="419" spans="5:5" ht="13" x14ac:dyDescent="0.15">
      <c r="E419" s="52"/>
    </row>
    <row r="420" spans="5:5" ht="13" x14ac:dyDescent="0.15">
      <c r="E420" s="52"/>
    </row>
    <row r="421" spans="5:5" ht="13" x14ac:dyDescent="0.15">
      <c r="E421" s="52"/>
    </row>
    <row r="422" spans="5:5" ht="13" x14ac:dyDescent="0.15">
      <c r="E422" s="52"/>
    </row>
    <row r="423" spans="5:5" ht="13" x14ac:dyDescent="0.15">
      <c r="E423" s="52"/>
    </row>
    <row r="424" spans="5:5" ht="13" x14ac:dyDescent="0.15">
      <c r="E424" s="52"/>
    </row>
    <row r="425" spans="5:5" ht="13" x14ac:dyDescent="0.15">
      <c r="E425" s="52"/>
    </row>
    <row r="426" spans="5:5" ht="13" x14ac:dyDescent="0.15">
      <c r="E426" s="52"/>
    </row>
    <row r="427" spans="5:5" ht="13" x14ac:dyDescent="0.15">
      <c r="E427" s="52"/>
    </row>
    <row r="428" spans="5:5" ht="13" x14ac:dyDescent="0.15">
      <c r="E428" s="52"/>
    </row>
    <row r="429" spans="5:5" ht="13" x14ac:dyDescent="0.15">
      <c r="E429" s="52"/>
    </row>
    <row r="430" spans="5:5" ht="13" x14ac:dyDescent="0.15">
      <c r="E430" s="52"/>
    </row>
    <row r="431" spans="5:5" ht="13" x14ac:dyDescent="0.15">
      <c r="E431" s="52"/>
    </row>
    <row r="432" spans="5:5" ht="13" x14ac:dyDescent="0.15">
      <c r="E432" s="52"/>
    </row>
    <row r="433" spans="5:5" ht="13" x14ac:dyDescent="0.15">
      <c r="E433" s="52"/>
    </row>
    <row r="434" spans="5:5" ht="13" x14ac:dyDescent="0.15">
      <c r="E434" s="52"/>
    </row>
    <row r="435" spans="5:5" ht="13" x14ac:dyDescent="0.15">
      <c r="E435" s="52"/>
    </row>
    <row r="436" spans="5:5" ht="13" x14ac:dyDescent="0.15">
      <c r="E436" s="52"/>
    </row>
    <row r="437" spans="5:5" ht="13" x14ac:dyDescent="0.15">
      <c r="E437" s="52"/>
    </row>
    <row r="438" spans="5:5" ht="13" x14ac:dyDescent="0.15">
      <c r="E438" s="52"/>
    </row>
    <row r="439" spans="5:5" ht="13" x14ac:dyDescent="0.15">
      <c r="E439" s="52"/>
    </row>
    <row r="440" spans="5:5" ht="13" x14ac:dyDescent="0.15">
      <c r="E440" s="52"/>
    </row>
    <row r="441" spans="5:5" ht="13" x14ac:dyDescent="0.15">
      <c r="E441" s="52"/>
    </row>
    <row r="442" spans="5:5" ht="13" x14ac:dyDescent="0.15">
      <c r="E442" s="52"/>
    </row>
    <row r="443" spans="5:5" ht="13" x14ac:dyDescent="0.15">
      <c r="E443" s="52"/>
    </row>
    <row r="444" spans="5:5" ht="13" x14ac:dyDescent="0.15">
      <c r="E444" s="52"/>
    </row>
    <row r="445" spans="5:5" ht="13" x14ac:dyDescent="0.15">
      <c r="E445" s="52"/>
    </row>
    <row r="446" spans="5:5" ht="13" x14ac:dyDescent="0.15">
      <c r="E446" s="52"/>
    </row>
    <row r="447" spans="5:5" ht="13" x14ac:dyDescent="0.15">
      <c r="E447" s="52"/>
    </row>
    <row r="448" spans="5:5" ht="13" x14ac:dyDescent="0.15">
      <c r="E448" s="52"/>
    </row>
    <row r="449" spans="5:5" ht="13" x14ac:dyDescent="0.15">
      <c r="E449" s="52"/>
    </row>
    <row r="450" spans="5:5" ht="13" x14ac:dyDescent="0.15">
      <c r="E450" s="52"/>
    </row>
    <row r="451" spans="5:5" ht="13" x14ac:dyDescent="0.15">
      <c r="E451" s="52"/>
    </row>
    <row r="452" spans="5:5" ht="13" x14ac:dyDescent="0.15">
      <c r="E452" s="52"/>
    </row>
    <row r="453" spans="5:5" ht="13" x14ac:dyDescent="0.15">
      <c r="E453" s="52"/>
    </row>
    <row r="454" spans="5:5" ht="13" x14ac:dyDescent="0.15">
      <c r="E454" s="52"/>
    </row>
    <row r="455" spans="5:5" ht="13" x14ac:dyDescent="0.15">
      <c r="E455" s="52"/>
    </row>
    <row r="456" spans="5:5" ht="13" x14ac:dyDescent="0.15">
      <c r="E456" s="52"/>
    </row>
    <row r="457" spans="5:5" ht="13" x14ac:dyDescent="0.15">
      <c r="E457" s="52"/>
    </row>
    <row r="458" spans="5:5" ht="13" x14ac:dyDescent="0.15">
      <c r="E458" s="52"/>
    </row>
    <row r="459" spans="5:5" ht="13" x14ac:dyDescent="0.15">
      <c r="E459" s="52"/>
    </row>
    <row r="460" spans="5:5" ht="13" x14ac:dyDescent="0.15">
      <c r="E460" s="52"/>
    </row>
    <row r="461" spans="5:5" ht="13" x14ac:dyDescent="0.15">
      <c r="E461" s="52"/>
    </row>
    <row r="462" spans="5:5" ht="13" x14ac:dyDescent="0.15">
      <c r="E462" s="52"/>
    </row>
    <row r="463" spans="5:5" ht="13" x14ac:dyDescent="0.15">
      <c r="E463" s="52"/>
    </row>
    <row r="464" spans="5:5" ht="13" x14ac:dyDescent="0.15">
      <c r="E464" s="52"/>
    </row>
    <row r="465" spans="5:5" ht="13" x14ac:dyDescent="0.15">
      <c r="E465" s="52"/>
    </row>
    <row r="466" spans="5:5" ht="13" x14ac:dyDescent="0.15">
      <c r="E466" s="52"/>
    </row>
    <row r="467" spans="5:5" ht="13" x14ac:dyDescent="0.15">
      <c r="E467" s="52"/>
    </row>
    <row r="468" spans="5:5" ht="13" x14ac:dyDescent="0.15">
      <c r="E468" s="52"/>
    </row>
    <row r="469" spans="5:5" ht="13" x14ac:dyDescent="0.15">
      <c r="E469" s="52"/>
    </row>
    <row r="470" spans="5:5" ht="13" x14ac:dyDescent="0.15">
      <c r="E470" s="52"/>
    </row>
    <row r="471" spans="5:5" ht="13" x14ac:dyDescent="0.15">
      <c r="E471" s="52"/>
    </row>
    <row r="472" spans="5:5" ht="13" x14ac:dyDescent="0.15">
      <c r="E472" s="52"/>
    </row>
    <row r="473" spans="5:5" ht="13" x14ac:dyDescent="0.15">
      <c r="E473" s="52"/>
    </row>
    <row r="474" spans="5:5" ht="13" x14ac:dyDescent="0.15">
      <c r="E474" s="52"/>
    </row>
    <row r="475" spans="5:5" ht="13" x14ac:dyDescent="0.15">
      <c r="E475" s="52"/>
    </row>
    <row r="476" spans="5:5" ht="13" x14ac:dyDescent="0.15">
      <c r="E476" s="52"/>
    </row>
    <row r="477" spans="5:5" ht="13" x14ac:dyDescent="0.15">
      <c r="E477" s="52"/>
    </row>
    <row r="478" spans="5:5" ht="13" x14ac:dyDescent="0.15">
      <c r="E478" s="52"/>
    </row>
    <row r="479" spans="5:5" ht="13" x14ac:dyDescent="0.15">
      <c r="E479" s="52"/>
    </row>
    <row r="480" spans="5:5" ht="13" x14ac:dyDescent="0.15">
      <c r="E480" s="52"/>
    </row>
    <row r="481" spans="5:5" ht="13" x14ac:dyDescent="0.15">
      <c r="E481" s="52"/>
    </row>
    <row r="482" spans="5:5" ht="13" x14ac:dyDescent="0.15">
      <c r="E482" s="52"/>
    </row>
    <row r="483" spans="5:5" ht="13" x14ac:dyDescent="0.15">
      <c r="E483" s="52"/>
    </row>
    <row r="484" spans="5:5" ht="13" x14ac:dyDescent="0.15">
      <c r="E484" s="52"/>
    </row>
    <row r="485" spans="5:5" ht="13" x14ac:dyDescent="0.15">
      <c r="E485" s="52"/>
    </row>
    <row r="486" spans="5:5" ht="13" x14ac:dyDescent="0.15">
      <c r="E486" s="52"/>
    </row>
    <row r="487" spans="5:5" ht="13" x14ac:dyDescent="0.15">
      <c r="E487" s="52"/>
    </row>
    <row r="488" spans="5:5" ht="13" x14ac:dyDescent="0.15">
      <c r="E488" s="52"/>
    </row>
    <row r="489" spans="5:5" ht="13" x14ac:dyDescent="0.15">
      <c r="E489" s="52"/>
    </row>
    <row r="490" spans="5:5" ht="13" x14ac:dyDescent="0.15">
      <c r="E490" s="52"/>
    </row>
    <row r="491" spans="5:5" ht="13" x14ac:dyDescent="0.15">
      <c r="E491" s="52"/>
    </row>
    <row r="492" spans="5:5" ht="13" x14ac:dyDescent="0.15">
      <c r="E492" s="52"/>
    </row>
    <row r="493" spans="5:5" ht="13" x14ac:dyDescent="0.15">
      <c r="E493" s="52"/>
    </row>
    <row r="494" spans="5:5" ht="13" x14ac:dyDescent="0.15">
      <c r="E494" s="52"/>
    </row>
    <row r="495" spans="5:5" ht="13" x14ac:dyDescent="0.15">
      <c r="E495" s="52"/>
    </row>
    <row r="496" spans="5:5" ht="13" x14ac:dyDescent="0.15">
      <c r="E496" s="52"/>
    </row>
    <row r="497" spans="5:5" ht="13" x14ac:dyDescent="0.15">
      <c r="E497" s="52"/>
    </row>
    <row r="498" spans="5:5" ht="13" x14ac:dyDescent="0.15">
      <c r="E498" s="52"/>
    </row>
    <row r="499" spans="5:5" ht="13" x14ac:dyDescent="0.15">
      <c r="E499" s="52"/>
    </row>
    <row r="500" spans="5:5" ht="13" x14ac:dyDescent="0.15">
      <c r="E500" s="52"/>
    </row>
    <row r="501" spans="5:5" ht="13" x14ac:dyDescent="0.15">
      <c r="E501" s="52"/>
    </row>
    <row r="502" spans="5:5" ht="13" x14ac:dyDescent="0.15">
      <c r="E502" s="52"/>
    </row>
    <row r="503" spans="5:5" ht="13" x14ac:dyDescent="0.15">
      <c r="E503" s="52"/>
    </row>
    <row r="504" spans="5:5" ht="13" x14ac:dyDescent="0.15">
      <c r="E504" s="52"/>
    </row>
    <row r="505" spans="5:5" ht="13" x14ac:dyDescent="0.15">
      <c r="E505" s="52"/>
    </row>
    <row r="506" spans="5:5" ht="13" x14ac:dyDescent="0.15">
      <c r="E506" s="52"/>
    </row>
    <row r="507" spans="5:5" ht="13" x14ac:dyDescent="0.15">
      <c r="E507" s="52"/>
    </row>
    <row r="508" spans="5:5" ht="13" x14ac:dyDescent="0.15">
      <c r="E508" s="52"/>
    </row>
    <row r="509" spans="5:5" ht="13" x14ac:dyDescent="0.15">
      <c r="E509" s="52"/>
    </row>
    <row r="510" spans="5:5" ht="13" x14ac:dyDescent="0.15">
      <c r="E510" s="52"/>
    </row>
    <row r="511" spans="5:5" ht="13" x14ac:dyDescent="0.15">
      <c r="E511" s="52"/>
    </row>
    <row r="512" spans="5:5" ht="13" x14ac:dyDescent="0.15">
      <c r="E512" s="52"/>
    </row>
    <row r="513" spans="5:5" ht="13" x14ac:dyDescent="0.15">
      <c r="E513" s="52"/>
    </row>
    <row r="514" spans="5:5" ht="13" x14ac:dyDescent="0.15">
      <c r="E514" s="52"/>
    </row>
    <row r="515" spans="5:5" ht="13" x14ac:dyDescent="0.15">
      <c r="E515" s="52"/>
    </row>
    <row r="516" spans="5:5" ht="13" x14ac:dyDescent="0.15">
      <c r="E516" s="52"/>
    </row>
    <row r="517" spans="5:5" ht="13" x14ac:dyDescent="0.15">
      <c r="E517" s="52"/>
    </row>
    <row r="518" spans="5:5" ht="13" x14ac:dyDescent="0.15">
      <c r="E518" s="52"/>
    </row>
    <row r="519" spans="5:5" ht="13" x14ac:dyDescent="0.15">
      <c r="E519" s="52"/>
    </row>
    <row r="520" spans="5:5" ht="13" x14ac:dyDescent="0.15">
      <c r="E520" s="52"/>
    </row>
    <row r="521" spans="5:5" ht="13" x14ac:dyDescent="0.15">
      <c r="E521" s="52"/>
    </row>
    <row r="522" spans="5:5" ht="13" x14ac:dyDescent="0.15">
      <c r="E522" s="52"/>
    </row>
    <row r="523" spans="5:5" ht="13" x14ac:dyDescent="0.15">
      <c r="E523" s="52"/>
    </row>
    <row r="524" spans="5:5" ht="13" x14ac:dyDescent="0.15">
      <c r="E524" s="52"/>
    </row>
    <row r="525" spans="5:5" ht="13" x14ac:dyDescent="0.15">
      <c r="E525" s="52"/>
    </row>
    <row r="526" spans="5:5" ht="13" x14ac:dyDescent="0.15">
      <c r="E526" s="52"/>
    </row>
    <row r="527" spans="5:5" ht="13" x14ac:dyDescent="0.15">
      <c r="E527" s="52"/>
    </row>
    <row r="528" spans="5:5" ht="13" x14ac:dyDescent="0.15">
      <c r="E528" s="52"/>
    </row>
    <row r="529" spans="5:5" ht="13" x14ac:dyDescent="0.15">
      <c r="E529" s="52"/>
    </row>
    <row r="530" spans="5:5" ht="13" x14ac:dyDescent="0.15">
      <c r="E530" s="52"/>
    </row>
    <row r="531" spans="5:5" ht="13" x14ac:dyDescent="0.15">
      <c r="E531" s="52"/>
    </row>
    <row r="532" spans="5:5" ht="13" x14ac:dyDescent="0.15">
      <c r="E532" s="52"/>
    </row>
    <row r="533" spans="5:5" ht="13" x14ac:dyDescent="0.15">
      <c r="E533" s="52"/>
    </row>
    <row r="534" spans="5:5" ht="13" x14ac:dyDescent="0.15">
      <c r="E534" s="52"/>
    </row>
    <row r="535" spans="5:5" ht="13" x14ac:dyDescent="0.15">
      <c r="E535" s="52"/>
    </row>
    <row r="536" spans="5:5" ht="13" x14ac:dyDescent="0.15">
      <c r="E536" s="52"/>
    </row>
    <row r="537" spans="5:5" ht="13" x14ac:dyDescent="0.15">
      <c r="E537" s="52"/>
    </row>
    <row r="538" spans="5:5" ht="13" x14ac:dyDescent="0.15">
      <c r="E538" s="52"/>
    </row>
    <row r="539" spans="5:5" ht="13" x14ac:dyDescent="0.15">
      <c r="E539" s="52"/>
    </row>
    <row r="540" spans="5:5" ht="13" x14ac:dyDescent="0.15">
      <c r="E540" s="52"/>
    </row>
    <row r="541" spans="5:5" ht="13" x14ac:dyDescent="0.15">
      <c r="E541" s="52"/>
    </row>
    <row r="542" spans="5:5" ht="13" x14ac:dyDescent="0.15">
      <c r="E542" s="52"/>
    </row>
    <row r="543" spans="5:5" ht="13" x14ac:dyDescent="0.15">
      <c r="E543" s="52"/>
    </row>
    <row r="544" spans="5:5" ht="13" x14ac:dyDescent="0.15">
      <c r="E544" s="52"/>
    </row>
    <row r="545" spans="5:5" ht="13" x14ac:dyDescent="0.15">
      <c r="E545" s="52"/>
    </row>
    <row r="546" spans="5:5" ht="13" x14ac:dyDescent="0.15">
      <c r="E546" s="52"/>
    </row>
    <row r="547" spans="5:5" ht="13" x14ac:dyDescent="0.15">
      <c r="E547" s="52"/>
    </row>
    <row r="548" spans="5:5" ht="13" x14ac:dyDescent="0.15">
      <c r="E548" s="52"/>
    </row>
    <row r="549" spans="5:5" ht="13" x14ac:dyDescent="0.15">
      <c r="E549" s="52"/>
    </row>
    <row r="550" spans="5:5" ht="13" x14ac:dyDescent="0.15">
      <c r="E550" s="52"/>
    </row>
    <row r="551" spans="5:5" ht="13" x14ac:dyDescent="0.15">
      <c r="E551" s="52"/>
    </row>
    <row r="552" spans="5:5" ht="13" x14ac:dyDescent="0.15">
      <c r="E552" s="52"/>
    </row>
    <row r="553" spans="5:5" ht="13" x14ac:dyDescent="0.15">
      <c r="E553" s="52"/>
    </row>
    <row r="554" spans="5:5" ht="13" x14ac:dyDescent="0.15">
      <c r="E554" s="52"/>
    </row>
    <row r="555" spans="5:5" ht="13" x14ac:dyDescent="0.15">
      <c r="E555" s="52"/>
    </row>
    <row r="556" spans="5:5" ht="13" x14ac:dyDescent="0.15">
      <c r="E556" s="52"/>
    </row>
    <row r="557" spans="5:5" ht="13" x14ac:dyDescent="0.15">
      <c r="E557" s="52"/>
    </row>
    <row r="558" spans="5:5" ht="13" x14ac:dyDescent="0.15">
      <c r="E558" s="52"/>
    </row>
    <row r="559" spans="5:5" ht="13" x14ac:dyDescent="0.15">
      <c r="E559" s="52"/>
    </row>
    <row r="560" spans="5:5" ht="13" x14ac:dyDescent="0.15">
      <c r="E560" s="52"/>
    </row>
    <row r="561" spans="5:5" ht="13" x14ac:dyDescent="0.15">
      <c r="E561" s="52"/>
    </row>
    <row r="562" spans="5:5" ht="13" x14ac:dyDescent="0.15">
      <c r="E562" s="52"/>
    </row>
    <row r="563" spans="5:5" ht="13" x14ac:dyDescent="0.15">
      <c r="E563" s="52"/>
    </row>
    <row r="564" spans="5:5" ht="13" x14ac:dyDescent="0.15">
      <c r="E564" s="52"/>
    </row>
    <row r="565" spans="5:5" ht="13" x14ac:dyDescent="0.15">
      <c r="E565" s="52"/>
    </row>
    <row r="566" spans="5:5" ht="13" x14ac:dyDescent="0.15">
      <c r="E566" s="52"/>
    </row>
    <row r="567" spans="5:5" ht="13" x14ac:dyDescent="0.15">
      <c r="E567" s="52"/>
    </row>
    <row r="568" spans="5:5" ht="13" x14ac:dyDescent="0.15">
      <c r="E568" s="52"/>
    </row>
    <row r="569" spans="5:5" ht="13" x14ac:dyDescent="0.15">
      <c r="E569" s="52"/>
    </row>
    <row r="570" spans="5:5" ht="13" x14ac:dyDescent="0.15">
      <c r="E570" s="52"/>
    </row>
    <row r="571" spans="5:5" ht="13" x14ac:dyDescent="0.15">
      <c r="E571" s="52"/>
    </row>
    <row r="572" spans="5:5" ht="13" x14ac:dyDescent="0.15">
      <c r="E572" s="52"/>
    </row>
    <row r="573" spans="5:5" ht="13" x14ac:dyDescent="0.15">
      <c r="E573" s="52"/>
    </row>
    <row r="574" spans="5:5" ht="13" x14ac:dyDescent="0.15">
      <c r="E574" s="52"/>
    </row>
    <row r="575" spans="5:5" ht="13" x14ac:dyDescent="0.15">
      <c r="E575" s="52"/>
    </row>
    <row r="576" spans="5:5" ht="13" x14ac:dyDescent="0.15">
      <c r="E576" s="52"/>
    </row>
    <row r="577" spans="5:5" ht="13" x14ac:dyDescent="0.15">
      <c r="E577" s="52"/>
    </row>
    <row r="578" spans="5:5" ht="13" x14ac:dyDescent="0.15">
      <c r="E578" s="52"/>
    </row>
    <row r="579" spans="5:5" ht="13" x14ac:dyDescent="0.15">
      <c r="E579" s="52"/>
    </row>
    <row r="580" spans="5:5" ht="13" x14ac:dyDescent="0.15">
      <c r="E580" s="52"/>
    </row>
    <row r="581" spans="5:5" ht="13" x14ac:dyDescent="0.15">
      <c r="E581" s="52"/>
    </row>
    <row r="582" spans="5:5" ht="13" x14ac:dyDescent="0.15">
      <c r="E582" s="52"/>
    </row>
    <row r="583" spans="5:5" ht="13" x14ac:dyDescent="0.15">
      <c r="E583" s="52"/>
    </row>
    <row r="584" spans="5:5" ht="13" x14ac:dyDescent="0.15">
      <c r="E584" s="52"/>
    </row>
    <row r="585" spans="5:5" ht="13" x14ac:dyDescent="0.15">
      <c r="E585" s="52"/>
    </row>
    <row r="586" spans="5:5" ht="13" x14ac:dyDescent="0.15">
      <c r="E586" s="52"/>
    </row>
    <row r="587" spans="5:5" ht="13" x14ac:dyDescent="0.15">
      <c r="E587" s="52"/>
    </row>
    <row r="588" spans="5:5" ht="13" x14ac:dyDescent="0.15">
      <c r="E588" s="52"/>
    </row>
    <row r="589" spans="5:5" ht="13" x14ac:dyDescent="0.15">
      <c r="E589" s="52"/>
    </row>
    <row r="590" spans="5:5" ht="13" x14ac:dyDescent="0.15">
      <c r="E590" s="52"/>
    </row>
    <row r="591" spans="5:5" ht="13" x14ac:dyDescent="0.15">
      <c r="E591" s="52"/>
    </row>
    <row r="592" spans="5:5" ht="13" x14ac:dyDescent="0.15">
      <c r="E592" s="52"/>
    </row>
    <row r="593" spans="5:5" ht="13" x14ac:dyDescent="0.15">
      <c r="E593" s="52"/>
    </row>
    <row r="594" spans="5:5" ht="13" x14ac:dyDescent="0.15">
      <c r="E594" s="52"/>
    </row>
    <row r="595" spans="5:5" ht="13" x14ac:dyDescent="0.15">
      <c r="E595" s="52"/>
    </row>
    <row r="596" spans="5:5" ht="13" x14ac:dyDescent="0.15">
      <c r="E596" s="52"/>
    </row>
    <row r="597" spans="5:5" ht="13" x14ac:dyDescent="0.15">
      <c r="E597" s="52"/>
    </row>
    <row r="598" spans="5:5" ht="13" x14ac:dyDescent="0.15">
      <c r="E598" s="52"/>
    </row>
    <row r="599" spans="5:5" ht="13" x14ac:dyDescent="0.15">
      <c r="E599" s="52"/>
    </row>
    <row r="600" spans="5:5" ht="13" x14ac:dyDescent="0.15">
      <c r="E600" s="52"/>
    </row>
    <row r="601" spans="5:5" ht="13" x14ac:dyDescent="0.15">
      <c r="E601" s="52"/>
    </row>
    <row r="602" spans="5:5" ht="13" x14ac:dyDescent="0.15">
      <c r="E602" s="52"/>
    </row>
    <row r="603" spans="5:5" ht="13" x14ac:dyDescent="0.15">
      <c r="E603" s="52"/>
    </row>
    <row r="604" spans="5:5" ht="13" x14ac:dyDescent="0.15">
      <c r="E604" s="52"/>
    </row>
    <row r="605" spans="5:5" ht="13" x14ac:dyDescent="0.15">
      <c r="E605" s="52"/>
    </row>
    <row r="606" spans="5:5" ht="13" x14ac:dyDescent="0.15">
      <c r="E606" s="52"/>
    </row>
    <row r="607" spans="5:5" ht="13" x14ac:dyDescent="0.15">
      <c r="E607" s="52"/>
    </row>
    <row r="608" spans="5:5" ht="13" x14ac:dyDescent="0.15">
      <c r="E608" s="52"/>
    </row>
    <row r="609" spans="5:5" ht="13" x14ac:dyDescent="0.15">
      <c r="E609" s="52"/>
    </row>
    <row r="610" spans="5:5" ht="13" x14ac:dyDescent="0.15">
      <c r="E610" s="52"/>
    </row>
    <row r="611" spans="5:5" ht="13" x14ac:dyDescent="0.15">
      <c r="E611" s="52"/>
    </row>
    <row r="612" spans="5:5" ht="13" x14ac:dyDescent="0.15">
      <c r="E612" s="52"/>
    </row>
    <row r="613" spans="5:5" ht="13" x14ac:dyDescent="0.15">
      <c r="E613" s="52"/>
    </row>
    <row r="614" spans="5:5" ht="13" x14ac:dyDescent="0.15">
      <c r="E614" s="52"/>
    </row>
    <row r="615" spans="5:5" ht="13" x14ac:dyDescent="0.15">
      <c r="E615" s="52"/>
    </row>
    <row r="616" spans="5:5" ht="13" x14ac:dyDescent="0.15">
      <c r="E616" s="52"/>
    </row>
    <row r="617" spans="5:5" ht="13" x14ac:dyDescent="0.15">
      <c r="E617" s="52"/>
    </row>
    <row r="618" spans="5:5" ht="13" x14ac:dyDescent="0.15">
      <c r="E618" s="52"/>
    </row>
    <row r="619" spans="5:5" ht="13" x14ac:dyDescent="0.15">
      <c r="E619" s="52"/>
    </row>
    <row r="620" spans="5:5" ht="13" x14ac:dyDescent="0.15">
      <c r="E620" s="52"/>
    </row>
    <row r="621" spans="5:5" ht="13" x14ac:dyDescent="0.15">
      <c r="E621" s="52"/>
    </row>
    <row r="622" spans="5:5" ht="13" x14ac:dyDescent="0.15">
      <c r="E622" s="52"/>
    </row>
    <row r="623" spans="5:5" ht="13" x14ac:dyDescent="0.15">
      <c r="E623" s="52"/>
    </row>
    <row r="624" spans="5:5" ht="13" x14ac:dyDescent="0.15">
      <c r="E624" s="52"/>
    </row>
    <row r="625" spans="5:5" ht="13" x14ac:dyDescent="0.15">
      <c r="E625" s="52"/>
    </row>
    <row r="626" spans="5:5" ht="13" x14ac:dyDescent="0.15">
      <c r="E626" s="52"/>
    </row>
    <row r="627" spans="5:5" ht="13" x14ac:dyDescent="0.15">
      <c r="E627" s="52"/>
    </row>
    <row r="628" spans="5:5" ht="13" x14ac:dyDescent="0.15">
      <c r="E628" s="52"/>
    </row>
    <row r="629" spans="5:5" ht="13" x14ac:dyDescent="0.15">
      <c r="E629" s="52"/>
    </row>
    <row r="630" spans="5:5" ht="13" x14ac:dyDescent="0.15">
      <c r="E630" s="52"/>
    </row>
    <row r="631" spans="5:5" ht="13" x14ac:dyDescent="0.15">
      <c r="E631" s="52"/>
    </row>
    <row r="632" spans="5:5" ht="13" x14ac:dyDescent="0.15">
      <c r="E632" s="52"/>
    </row>
    <row r="633" spans="5:5" ht="13" x14ac:dyDescent="0.15">
      <c r="E633" s="52"/>
    </row>
    <row r="634" spans="5:5" ht="13" x14ac:dyDescent="0.15">
      <c r="E634" s="52"/>
    </row>
    <row r="635" spans="5:5" ht="13" x14ac:dyDescent="0.15">
      <c r="E635" s="52"/>
    </row>
    <row r="636" spans="5:5" ht="13" x14ac:dyDescent="0.15">
      <c r="E636" s="52"/>
    </row>
    <row r="637" spans="5:5" ht="13" x14ac:dyDescent="0.15">
      <c r="E637" s="52"/>
    </row>
    <row r="638" spans="5:5" ht="13" x14ac:dyDescent="0.15">
      <c r="E638" s="52"/>
    </row>
    <row r="639" spans="5:5" ht="13" x14ac:dyDescent="0.15">
      <c r="E639" s="52"/>
    </row>
    <row r="640" spans="5:5" ht="13" x14ac:dyDescent="0.15">
      <c r="E640" s="52"/>
    </row>
    <row r="641" spans="5:5" ht="13" x14ac:dyDescent="0.15">
      <c r="E641" s="52"/>
    </row>
    <row r="642" spans="5:5" ht="13" x14ac:dyDescent="0.15">
      <c r="E642" s="52"/>
    </row>
    <row r="643" spans="5:5" ht="13" x14ac:dyDescent="0.15">
      <c r="E643" s="52"/>
    </row>
    <row r="644" spans="5:5" ht="13" x14ac:dyDescent="0.15">
      <c r="E644" s="52"/>
    </row>
    <row r="645" spans="5:5" ht="13" x14ac:dyDescent="0.15">
      <c r="E645" s="52"/>
    </row>
    <row r="646" spans="5:5" ht="13" x14ac:dyDescent="0.15">
      <c r="E646" s="52"/>
    </row>
    <row r="647" spans="5:5" ht="13" x14ac:dyDescent="0.15">
      <c r="E647" s="52"/>
    </row>
    <row r="648" spans="5:5" ht="13" x14ac:dyDescent="0.15">
      <c r="E648" s="52"/>
    </row>
    <row r="649" spans="5:5" ht="13" x14ac:dyDescent="0.15">
      <c r="E649" s="52"/>
    </row>
    <row r="650" spans="5:5" ht="13" x14ac:dyDescent="0.15">
      <c r="E650" s="52"/>
    </row>
    <row r="651" spans="5:5" ht="13" x14ac:dyDescent="0.15">
      <c r="E651" s="52"/>
    </row>
    <row r="652" spans="5:5" ht="13" x14ac:dyDescent="0.15">
      <c r="E652" s="52"/>
    </row>
    <row r="653" spans="5:5" ht="13" x14ac:dyDescent="0.15">
      <c r="E653" s="52"/>
    </row>
    <row r="654" spans="5:5" ht="13" x14ac:dyDescent="0.15">
      <c r="E654" s="52"/>
    </row>
    <row r="655" spans="5:5" ht="13" x14ac:dyDescent="0.15">
      <c r="E655" s="52"/>
    </row>
    <row r="656" spans="5:5" ht="13" x14ac:dyDescent="0.15">
      <c r="E656" s="52"/>
    </row>
    <row r="657" spans="5:5" ht="13" x14ac:dyDescent="0.15">
      <c r="E657" s="52"/>
    </row>
    <row r="658" spans="5:5" ht="13" x14ac:dyDescent="0.15">
      <c r="E658" s="52"/>
    </row>
    <row r="659" spans="5:5" ht="13" x14ac:dyDescent="0.15">
      <c r="E659" s="52"/>
    </row>
    <row r="660" spans="5:5" ht="13" x14ac:dyDescent="0.15">
      <c r="E660" s="52"/>
    </row>
    <row r="661" spans="5:5" ht="13" x14ac:dyDescent="0.15">
      <c r="E661" s="52"/>
    </row>
    <row r="662" spans="5:5" ht="13" x14ac:dyDescent="0.15">
      <c r="E662" s="52"/>
    </row>
    <row r="663" spans="5:5" ht="13" x14ac:dyDescent="0.15">
      <c r="E663" s="52"/>
    </row>
    <row r="664" spans="5:5" ht="13" x14ac:dyDescent="0.15">
      <c r="E664" s="52"/>
    </row>
    <row r="665" spans="5:5" ht="13" x14ac:dyDescent="0.15">
      <c r="E665" s="52"/>
    </row>
    <row r="666" spans="5:5" ht="13" x14ac:dyDescent="0.15">
      <c r="E666" s="52"/>
    </row>
    <row r="667" spans="5:5" ht="13" x14ac:dyDescent="0.15">
      <c r="E667" s="52"/>
    </row>
    <row r="668" spans="5:5" ht="13" x14ac:dyDescent="0.15">
      <c r="E668" s="52"/>
    </row>
    <row r="669" spans="5:5" ht="13" x14ac:dyDescent="0.15">
      <c r="E669" s="52"/>
    </row>
    <row r="670" spans="5:5" ht="13" x14ac:dyDescent="0.15">
      <c r="E670" s="52"/>
    </row>
    <row r="671" spans="5:5" ht="13" x14ac:dyDescent="0.15">
      <c r="E671" s="52"/>
    </row>
    <row r="672" spans="5:5" ht="13" x14ac:dyDescent="0.15">
      <c r="E672" s="52"/>
    </row>
    <row r="673" spans="5:5" ht="13" x14ac:dyDescent="0.15">
      <c r="E673" s="52"/>
    </row>
    <row r="674" spans="5:5" ht="13" x14ac:dyDescent="0.15">
      <c r="E674" s="52"/>
    </row>
    <row r="675" spans="5:5" ht="13" x14ac:dyDescent="0.15">
      <c r="E675" s="52"/>
    </row>
    <row r="676" spans="5:5" ht="13" x14ac:dyDescent="0.15">
      <c r="E676" s="52"/>
    </row>
    <row r="677" spans="5:5" ht="13" x14ac:dyDescent="0.15">
      <c r="E677" s="52"/>
    </row>
    <row r="678" spans="5:5" ht="13" x14ac:dyDescent="0.15">
      <c r="E678" s="52"/>
    </row>
    <row r="679" spans="5:5" ht="13" x14ac:dyDescent="0.15">
      <c r="E679" s="52"/>
    </row>
    <row r="680" spans="5:5" ht="13" x14ac:dyDescent="0.15">
      <c r="E680" s="52"/>
    </row>
    <row r="681" spans="5:5" ht="13" x14ac:dyDescent="0.15">
      <c r="E681" s="52"/>
    </row>
    <row r="682" spans="5:5" ht="13" x14ac:dyDescent="0.15">
      <c r="E682" s="52"/>
    </row>
    <row r="683" spans="5:5" ht="13" x14ac:dyDescent="0.15">
      <c r="E683" s="52"/>
    </row>
    <row r="684" spans="5:5" ht="13" x14ac:dyDescent="0.15">
      <c r="E684" s="52"/>
    </row>
    <row r="685" spans="5:5" ht="13" x14ac:dyDescent="0.15">
      <c r="E685" s="52"/>
    </row>
    <row r="686" spans="5:5" ht="13" x14ac:dyDescent="0.15">
      <c r="E686" s="52"/>
    </row>
    <row r="687" spans="5:5" ht="13" x14ac:dyDescent="0.15">
      <c r="E687" s="52"/>
    </row>
    <row r="688" spans="5:5" ht="13" x14ac:dyDescent="0.15">
      <c r="E688" s="52"/>
    </row>
    <row r="689" spans="5:5" ht="13" x14ac:dyDescent="0.15">
      <c r="E689" s="52"/>
    </row>
    <row r="690" spans="5:5" ht="13" x14ac:dyDescent="0.15">
      <c r="E690" s="52"/>
    </row>
    <row r="691" spans="5:5" ht="13" x14ac:dyDescent="0.15">
      <c r="E691" s="52"/>
    </row>
    <row r="692" spans="5:5" ht="13" x14ac:dyDescent="0.15">
      <c r="E692" s="52"/>
    </row>
    <row r="693" spans="5:5" ht="13" x14ac:dyDescent="0.15">
      <c r="E693" s="52"/>
    </row>
    <row r="694" spans="5:5" ht="13" x14ac:dyDescent="0.15">
      <c r="E694" s="52"/>
    </row>
    <row r="695" spans="5:5" ht="13" x14ac:dyDescent="0.15">
      <c r="E695" s="52"/>
    </row>
    <row r="696" spans="5:5" ht="13" x14ac:dyDescent="0.15">
      <c r="E696" s="52"/>
    </row>
    <row r="697" spans="5:5" ht="13" x14ac:dyDescent="0.15">
      <c r="E697" s="52"/>
    </row>
    <row r="698" spans="5:5" ht="13" x14ac:dyDescent="0.15">
      <c r="E698" s="52"/>
    </row>
    <row r="699" spans="5:5" ht="13" x14ac:dyDescent="0.15">
      <c r="E699" s="52"/>
    </row>
    <row r="700" spans="5:5" ht="13" x14ac:dyDescent="0.15">
      <c r="E700" s="52"/>
    </row>
    <row r="701" spans="5:5" ht="13" x14ac:dyDescent="0.15">
      <c r="E701" s="52"/>
    </row>
    <row r="702" spans="5:5" ht="13" x14ac:dyDescent="0.15">
      <c r="E702" s="52"/>
    </row>
    <row r="703" spans="5:5" ht="13" x14ac:dyDescent="0.15">
      <c r="E703" s="52"/>
    </row>
    <row r="704" spans="5:5" ht="13" x14ac:dyDescent="0.15">
      <c r="E704" s="52"/>
    </row>
    <row r="705" spans="5:5" ht="13" x14ac:dyDescent="0.15">
      <c r="E705" s="52"/>
    </row>
    <row r="706" spans="5:5" ht="13" x14ac:dyDescent="0.15">
      <c r="E706" s="52"/>
    </row>
    <row r="707" spans="5:5" ht="13" x14ac:dyDescent="0.15">
      <c r="E707" s="52"/>
    </row>
    <row r="708" spans="5:5" ht="13" x14ac:dyDescent="0.15">
      <c r="E708" s="52"/>
    </row>
    <row r="709" spans="5:5" ht="13" x14ac:dyDescent="0.15">
      <c r="E709" s="52"/>
    </row>
    <row r="710" spans="5:5" ht="13" x14ac:dyDescent="0.15">
      <c r="E710" s="52"/>
    </row>
    <row r="711" spans="5:5" ht="13" x14ac:dyDescent="0.15">
      <c r="E711" s="52"/>
    </row>
    <row r="712" spans="5:5" ht="13" x14ac:dyDescent="0.15">
      <c r="E712" s="52"/>
    </row>
    <row r="713" spans="5:5" ht="13" x14ac:dyDescent="0.15">
      <c r="E713" s="52"/>
    </row>
    <row r="714" spans="5:5" ht="13" x14ac:dyDescent="0.15">
      <c r="E714" s="52"/>
    </row>
    <row r="715" spans="5:5" ht="13" x14ac:dyDescent="0.15">
      <c r="E715" s="52"/>
    </row>
    <row r="716" spans="5:5" ht="13" x14ac:dyDescent="0.15">
      <c r="E716" s="52"/>
    </row>
    <row r="717" spans="5:5" ht="13" x14ac:dyDescent="0.15">
      <c r="E717" s="52"/>
    </row>
    <row r="718" spans="5:5" ht="13" x14ac:dyDescent="0.15">
      <c r="E718" s="52"/>
    </row>
    <row r="719" spans="5:5" ht="13" x14ac:dyDescent="0.15">
      <c r="E719" s="52"/>
    </row>
    <row r="720" spans="5:5" ht="13" x14ac:dyDescent="0.15">
      <c r="E720" s="52"/>
    </row>
    <row r="721" spans="5:5" ht="13" x14ac:dyDescent="0.15">
      <c r="E721" s="52"/>
    </row>
    <row r="722" spans="5:5" ht="13" x14ac:dyDescent="0.15">
      <c r="E722" s="52"/>
    </row>
    <row r="723" spans="5:5" ht="13" x14ac:dyDescent="0.15">
      <c r="E723" s="52"/>
    </row>
    <row r="724" spans="5:5" ht="13" x14ac:dyDescent="0.15">
      <c r="E724" s="52"/>
    </row>
    <row r="725" spans="5:5" ht="13" x14ac:dyDescent="0.15">
      <c r="E725" s="52"/>
    </row>
    <row r="726" spans="5:5" ht="13" x14ac:dyDescent="0.15">
      <c r="E726" s="52"/>
    </row>
    <row r="727" spans="5:5" ht="13" x14ac:dyDescent="0.15">
      <c r="E727" s="52"/>
    </row>
    <row r="728" spans="5:5" ht="13" x14ac:dyDescent="0.15">
      <c r="E728" s="52"/>
    </row>
    <row r="729" spans="5:5" ht="13" x14ac:dyDescent="0.15">
      <c r="E729" s="52"/>
    </row>
    <row r="730" spans="5:5" ht="13" x14ac:dyDescent="0.15">
      <c r="E730" s="52"/>
    </row>
    <row r="731" spans="5:5" ht="13" x14ac:dyDescent="0.15">
      <c r="E731" s="52"/>
    </row>
    <row r="732" spans="5:5" ht="13" x14ac:dyDescent="0.15">
      <c r="E732" s="52"/>
    </row>
    <row r="733" spans="5:5" ht="13" x14ac:dyDescent="0.15">
      <c r="E733" s="52"/>
    </row>
    <row r="734" spans="5:5" ht="13" x14ac:dyDescent="0.15">
      <c r="E734" s="52"/>
    </row>
    <row r="735" spans="5:5" ht="13" x14ac:dyDescent="0.15">
      <c r="E735" s="52"/>
    </row>
    <row r="736" spans="5:5" ht="13" x14ac:dyDescent="0.15">
      <c r="E736" s="52"/>
    </row>
    <row r="737" spans="5:5" ht="13" x14ac:dyDescent="0.15">
      <c r="E737" s="52"/>
    </row>
    <row r="738" spans="5:5" ht="13" x14ac:dyDescent="0.15">
      <c r="E738" s="52"/>
    </row>
    <row r="739" spans="5:5" ht="13" x14ac:dyDescent="0.15">
      <c r="E739" s="52"/>
    </row>
    <row r="740" spans="5:5" ht="13" x14ac:dyDescent="0.15">
      <c r="E740" s="52"/>
    </row>
    <row r="741" spans="5:5" ht="13" x14ac:dyDescent="0.15">
      <c r="E741" s="52"/>
    </row>
    <row r="742" spans="5:5" ht="13" x14ac:dyDescent="0.15">
      <c r="E742" s="52"/>
    </row>
    <row r="743" spans="5:5" ht="13" x14ac:dyDescent="0.15">
      <c r="E743" s="52"/>
    </row>
    <row r="744" spans="5:5" ht="13" x14ac:dyDescent="0.15">
      <c r="E744" s="52"/>
    </row>
    <row r="745" spans="5:5" ht="13" x14ac:dyDescent="0.15">
      <c r="E745" s="52"/>
    </row>
    <row r="746" spans="5:5" ht="13" x14ac:dyDescent="0.15">
      <c r="E746" s="52"/>
    </row>
    <row r="747" spans="5:5" ht="13" x14ac:dyDescent="0.15">
      <c r="E747" s="52"/>
    </row>
    <row r="748" spans="5:5" ht="13" x14ac:dyDescent="0.15">
      <c r="E748" s="52"/>
    </row>
    <row r="749" spans="5:5" ht="13" x14ac:dyDescent="0.15">
      <c r="E749" s="52"/>
    </row>
    <row r="750" spans="5:5" ht="13" x14ac:dyDescent="0.15">
      <c r="E750" s="52"/>
    </row>
    <row r="751" spans="5:5" ht="13" x14ac:dyDescent="0.15">
      <c r="E751" s="52"/>
    </row>
    <row r="752" spans="5:5" ht="13" x14ac:dyDescent="0.15">
      <c r="E752" s="52"/>
    </row>
    <row r="753" spans="5:5" ht="13" x14ac:dyDescent="0.15">
      <c r="E753" s="52"/>
    </row>
    <row r="754" spans="5:5" ht="13" x14ac:dyDescent="0.15">
      <c r="E754" s="52"/>
    </row>
    <row r="755" spans="5:5" ht="13" x14ac:dyDescent="0.15">
      <c r="E755" s="52"/>
    </row>
    <row r="756" spans="5:5" ht="13" x14ac:dyDescent="0.15">
      <c r="E756" s="52"/>
    </row>
    <row r="757" spans="5:5" ht="13" x14ac:dyDescent="0.15">
      <c r="E757" s="52"/>
    </row>
    <row r="758" spans="5:5" ht="13" x14ac:dyDescent="0.15">
      <c r="E758" s="52"/>
    </row>
    <row r="759" spans="5:5" ht="13" x14ac:dyDescent="0.15">
      <c r="E759" s="52"/>
    </row>
    <row r="760" spans="5:5" ht="13" x14ac:dyDescent="0.15">
      <c r="E760" s="52"/>
    </row>
    <row r="761" spans="5:5" ht="13" x14ac:dyDescent="0.15">
      <c r="E761" s="52"/>
    </row>
    <row r="762" spans="5:5" ht="13" x14ac:dyDescent="0.15">
      <c r="E762" s="52"/>
    </row>
    <row r="763" spans="5:5" ht="13" x14ac:dyDescent="0.15">
      <c r="E763" s="52"/>
    </row>
    <row r="764" spans="5:5" ht="13" x14ac:dyDescent="0.15">
      <c r="E764" s="52"/>
    </row>
    <row r="765" spans="5:5" ht="13" x14ac:dyDescent="0.15">
      <c r="E765" s="52"/>
    </row>
    <row r="766" spans="5:5" ht="13" x14ac:dyDescent="0.15">
      <c r="E766" s="52"/>
    </row>
    <row r="767" spans="5:5" ht="13" x14ac:dyDescent="0.15">
      <c r="E767" s="52"/>
    </row>
    <row r="768" spans="5:5" ht="13" x14ac:dyDescent="0.15">
      <c r="E768" s="52"/>
    </row>
    <row r="769" spans="5:5" ht="13" x14ac:dyDescent="0.15">
      <c r="E769" s="52"/>
    </row>
    <row r="770" spans="5:5" ht="13" x14ac:dyDescent="0.15">
      <c r="E770" s="52"/>
    </row>
    <row r="771" spans="5:5" ht="13" x14ac:dyDescent="0.15">
      <c r="E771" s="52"/>
    </row>
    <row r="772" spans="5:5" ht="13" x14ac:dyDescent="0.15">
      <c r="E772" s="52"/>
    </row>
    <row r="773" spans="5:5" ht="13" x14ac:dyDescent="0.15">
      <c r="E773" s="52"/>
    </row>
    <row r="774" spans="5:5" ht="13" x14ac:dyDescent="0.15">
      <c r="E774" s="52"/>
    </row>
    <row r="775" spans="5:5" ht="13" x14ac:dyDescent="0.15">
      <c r="E775" s="52"/>
    </row>
    <row r="776" spans="5:5" ht="13" x14ac:dyDescent="0.15">
      <c r="E776" s="52"/>
    </row>
    <row r="777" spans="5:5" ht="13" x14ac:dyDescent="0.15">
      <c r="E777" s="52"/>
    </row>
    <row r="778" spans="5:5" ht="13" x14ac:dyDescent="0.15">
      <c r="E778" s="52"/>
    </row>
    <row r="779" spans="5:5" ht="13" x14ac:dyDescent="0.15">
      <c r="E779" s="52"/>
    </row>
    <row r="780" spans="5:5" ht="13" x14ac:dyDescent="0.15">
      <c r="E780" s="52"/>
    </row>
    <row r="781" spans="5:5" ht="13" x14ac:dyDescent="0.15">
      <c r="E781" s="52"/>
    </row>
    <row r="782" spans="5:5" ht="13" x14ac:dyDescent="0.15">
      <c r="E782" s="52"/>
    </row>
    <row r="783" spans="5:5" ht="13" x14ac:dyDescent="0.15">
      <c r="E783" s="52"/>
    </row>
    <row r="784" spans="5:5" ht="13" x14ac:dyDescent="0.15">
      <c r="E784" s="52"/>
    </row>
    <row r="785" spans="5:5" ht="13" x14ac:dyDescent="0.15">
      <c r="E785" s="52"/>
    </row>
    <row r="786" spans="5:5" ht="13" x14ac:dyDescent="0.15">
      <c r="E786" s="52"/>
    </row>
    <row r="787" spans="5:5" ht="13" x14ac:dyDescent="0.15">
      <c r="E787" s="52"/>
    </row>
    <row r="788" spans="5:5" ht="13" x14ac:dyDescent="0.15">
      <c r="E788" s="52"/>
    </row>
    <row r="789" spans="5:5" ht="13" x14ac:dyDescent="0.15">
      <c r="E789" s="52"/>
    </row>
    <row r="790" spans="5:5" ht="13" x14ac:dyDescent="0.15">
      <c r="E790" s="52"/>
    </row>
    <row r="791" spans="5:5" ht="13" x14ac:dyDescent="0.15">
      <c r="E791" s="52"/>
    </row>
    <row r="792" spans="5:5" ht="13" x14ac:dyDescent="0.15">
      <c r="E792" s="52"/>
    </row>
    <row r="793" spans="5:5" ht="13" x14ac:dyDescent="0.15">
      <c r="E793" s="52"/>
    </row>
    <row r="794" spans="5:5" ht="13" x14ac:dyDescent="0.15">
      <c r="E794" s="52"/>
    </row>
    <row r="795" spans="5:5" ht="13" x14ac:dyDescent="0.15">
      <c r="E795" s="52"/>
    </row>
    <row r="796" spans="5:5" ht="13" x14ac:dyDescent="0.15">
      <c r="E796" s="52"/>
    </row>
    <row r="797" spans="5:5" ht="13" x14ac:dyDescent="0.15">
      <c r="E797" s="52"/>
    </row>
    <row r="798" spans="5:5" ht="13" x14ac:dyDescent="0.15">
      <c r="E798" s="52"/>
    </row>
    <row r="799" spans="5:5" ht="13" x14ac:dyDescent="0.15">
      <c r="E799" s="52"/>
    </row>
    <row r="800" spans="5:5" ht="13" x14ac:dyDescent="0.15">
      <c r="E800" s="52"/>
    </row>
    <row r="801" spans="5:5" ht="13" x14ac:dyDescent="0.15">
      <c r="E801" s="52"/>
    </row>
    <row r="802" spans="5:5" ht="13" x14ac:dyDescent="0.15">
      <c r="E802" s="52"/>
    </row>
    <row r="803" spans="5:5" ht="13" x14ac:dyDescent="0.15">
      <c r="E803" s="52"/>
    </row>
    <row r="804" spans="5:5" ht="13" x14ac:dyDescent="0.15">
      <c r="E804" s="52"/>
    </row>
    <row r="805" spans="5:5" ht="13" x14ac:dyDescent="0.15">
      <c r="E805" s="52"/>
    </row>
    <row r="806" spans="5:5" ht="13" x14ac:dyDescent="0.15">
      <c r="E806" s="52"/>
    </row>
    <row r="807" spans="5:5" ht="13" x14ac:dyDescent="0.15">
      <c r="E807" s="52"/>
    </row>
    <row r="808" spans="5:5" ht="13" x14ac:dyDescent="0.15">
      <c r="E808" s="52"/>
    </row>
    <row r="809" spans="5:5" ht="13" x14ac:dyDescent="0.15">
      <c r="E809" s="52"/>
    </row>
    <row r="810" spans="5:5" ht="13" x14ac:dyDescent="0.15">
      <c r="E810" s="52"/>
    </row>
    <row r="811" spans="5:5" ht="13" x14ac:dyDescent="0.15">
      <c r="E811" s="52"/>
    </row>
    <row r="812" spans="5:5" ht="13" x14ac:dyDescent="0.15">
      <c r="E812" s="52"/>
    </row>
    <row r="813" spans="5:5" ht="13" x14ac:dyDescent="0.15">
      <c r="E813" s="52"/>
    </row>
    <row r="814" spans="5:5" ht="13" x14ac:dyDescent="0.15">
      <c r="E814" s="52"/>
    </row>
    <row r="815" spans="5:5" ht="13" x14ac:dyDescent="0.15">
      <c r="E815" s="52"/>
    </row>
    <row r="816" spans="5:5" ht="13" x14ac:dyDescent="0.15">
      <c r="E816" s="52"/>
    </row>
    <row r="817" spans="5:5" ht="13" x14ac:dyDescent="0.15">
      <c r="E817" s="52"/>
    </row>
    <row r="818" spans="5:5" ht="13" x14ac:dyDescent="0.15">
      <c r="E818" s="52"/>
    </row>
    <row r="819" spans="5:5" ht="13" x14ac:dyDescent="0.15">
      <c r="E819" s="52"/>
    </row>
    <row r="820" spans="5:5" ht="13" x14ac:dyDescent="0.15">
      <c r="E820" s="52"/>
    </row>
    <row r="821" spans="5:5" ht="13" x14ac:dyDescent="0.15">
      <c r="E821" s="52"/>
    </row>
    <row r="822" spans="5:5" ht="13" x14ac:dyDescent="0.15">
      <c r="E822" s="52"/>
    </row>
    <row r="823" spans="5:5" ht="13" x14ac:dyDescent="0.15">
      <c r="E823" s="52"/>
    </row>
    <row r="824" spans="5:5" ht="13" x14ac:dyDescent="0.15">
      <c r="E824" s="52"/>
    </row>
    <row r="825" spans="5:5" ht="13" x14ac:dyDescent="0.15">
      <c r="E825" s="52"/>
    </row>
    <row r="826" spans="5:5" ht="13" x14ac:dyDescent="0.15">
      <c r="E826" s="52"/>
    </row>
    <row r="827" spans="5:5" ht="13" x14ac:dyDescent="0.15">
      <c r="E827" s="52"/>
    </row>
    <row r="828" spans="5:5" ht="13" x14ac:dyDescent="0.15">
      <c r="E828" s="52"/>
    </row>
    <row r="829" spans="5:5" ht="13" x14ac:dyDescent="0.15">
      <c r="E829" s="52"/>
    </row>
    <row r="830" spans="5:5" ht="13" x14ac:dyDescent="0.15">
      <c r="E830" s="52"/>
    </row>
    <row r="831" spans="5:5" ht="13" x14ac:dyDescent="0.15">
      <c r="E831" s="52"/>
    </row>
    <row r="832" spans="5:5" ht="13" x14ac:dyDescent="0.15">
      <c r="E832" s="52"/>
    </row>
    <row r="833" spans="5:5" ht="13" x14ac:dyDescent="0.15">
      <c r="E833" s="52"/>
    </row>
    <row r="834" spans="5:5" ht="13" x14ac:dyDescent="0.15">
      <c r="E834" s="52"/>
    </row>
    <row r="835" spans="5:5" ht="13" x14ac:dyDescent="0.15">
      <c r="E835" s="52"/>
    </row>
    <row r="836" spans="5:5" ht="13" x14ac:dyDescent="0.15">
      <c r="E836" s="52"/>
    </row>
    <row r="837" spans="5:5" ht="13" x14ac:dyDescent="0.15">
      <c r="E837" s="52"/>
    </row>
    <row r="838" spans="5:5" ht="13" x14ac:dyDescent="0.15">
      <c r="E838" s="52"/>
    </row>
    <row r="839" spans="5:5" ht="13" x14ac:dyDescent="0.15">
      <c r="E839" s="52"/>
    </row>
    <row r="840" spans="5:5" ht="13" x14ac:dyDescent="0.15">
      <c r="E840" s="52"/>
    </row>
    <row r="841" spans="5:5" ht="13" x14ac:dyDescent="0.15">
      <c r="E841" s="52"/>
    </row>
    <row r="842" spans="5:5" ht="13" x14ac:dyDescent="0.15">
      <c r="E842" s="52"/>
    </row>
    <row r="843" spans="5:5" ht="13" x14ac:dyDescent="0.15">
      <c r="E843" s="52"/>
    </row>
    <row r="844" spans="5:5" ht="13" x14ac:dyDescent="0.15">
      <c r="E844" s="52"/>
    </row>
    <row r="845" spans="5:5" ht="13" x14ac:dyDescent="0.15">
      <c r="E845" s="52"/>
    </row>
    <row r="846" spans="5:5" ht="13" x14ac:dyDescent="0.15">
      <c r="E846" s="52"/>
    </row>
    <row r="847" spans="5:5" ht="13" x14ac:dyDescent="0.15">
      <c r="E847" s="52"/>
    </row>
    <row r="848" spans="5:5" ht="13" x14ac:dyDescent="0.15">
      <c r="E848" s="52"/>
    </row>
    <row r="849" spans="5:5" ht="13" x14ac:dyDescent="0.15">
      <c r="E849" s="52"/>
    </row>
    <row r="850" spans="5:5" ht="13" x14ac:dyDescent="0.15">
      <c r="E850" s="52"/>
    </row>
    <row r="851" spans="5:5" ht="13" x14ac:dyDescent="0.15">
      <c r="E851" s="52"/>
    </row>
    <row r="852" spans="5:5" ht="13" x14ac:dyDescent="0.15">
      <c r="E852" s="52"/>
    </row>
    <row r="853" spans="5:5" ht="13" x14ac:dyDescent="0.15">
      <c r="E853" s="52"/>
    </row>
    <row r="854" spans="5:5" ht="13" x14ac:dyDescent="0.15">
      <c r="E854" s="52"/>
    </row>
    <row r="855" spans="5:5" ht="13" x14ac:dyDescent="0.15">
      <c r="E855" s="52"/>
    </row>
    <row r="856" spans="5:5" ht="13" x14ac:dyDescent="0.15">
      <c r="E856" s="52"/>
    </row>
    <row r="857" spans="5:5" ht="13" x14ac:dyDescent="0.15">
      <c r="E857" s="52"/>
    </row>
    <row r="858" spans="5:5" ht="13" x14ac:dyDescent="0.15">
      <c r="E858" s="52"/>
    </row>
    <row r="859" spans="5:5" ht="13" x14ac:dyDescent="0.15">
      <c r="E859" s="52"/>
    </row>
    <row r="860" spans="5:5" ht="13" x14ac:dyDescent="0.15">
      <c r="E860" s="52"/>
    </row>
    <row r="861" spans="5:5" ht="13" x14ac:dyDescent="0.15">
      <c r="E861" s="52"/>
    </row>
    <row r="862" spans="5:5" ht="13" x14ac:dyDescent="0.15">
      <c r="E862" s="52"/>
    </row>
    <row r="863" spans="5:5" ht="13" x14ac:dyDescent="0.15">
      <c r="E863" s="52"/>
    </row>
    <row r="864" spans="5:5" ht="13" x14ac:dyDescent="0.15">
      <c r="E864" s="52"/>
    </row>
    <row r="865" spans="5:5" ht="13" x14ac:dyDescent="0.15">
      <c r="E865" s="52"/>
    </row>
    <row r="866" spans="5:5" ht="13" x14ac:dyDescent="0.15">
      <c r="E866" s="52"/>
    </row>
    <row r="867" spans="5:5" ht="13" x14ac:dyDescent="0.15">
      <c r="E867" s="52"/>
    </row>
    <row r="868" spans="5:5" ht="13" x14ac:dyDescent="0.15">
      <c r="E868" s="52"/>
    </row>
    <row r="869" spans="5:5" ht="13" x14ac:dyDescent="0.15">
      <c r="E869" s="52"/>
    </row>
    <row r="870" spans="5:5" ht="13" x14ac:dyDescent="0.15">
      <c r="E870" s="52"/>
    </row>
    <row r="871" spans="5:5" ht="13" x14ac:dyDescent="0.15">
      <c r="E871" s="52"/>
    </row>
    <row r="872" spans="5:5" ht="13" x14ac:dyDescent="0.15">
      <c r="E872" s="52"/>
    </row>
    <row r="873" spans="5:5" ht="13" x14ac:dyDescent="0.15">
      <c r="E873" s="52"/>
    </row>
    <row r="874" spans="5:5" ht="13" x14ac:dyDescent="0.15">
      <c r="E874" s="52"/>
    </row>
    <row r="875" spans="5:5" ht="13" x14ac:dyDescent="0.15">
      <c r="E875" s="52"/>
    </row>
    <row r="876" spans="5:5" ht="13" x14ac:dyDescent="0.15">
      <c r="E876" s="52"/>
    </row>
    <row r="877" spans="5:5" ht="13" x14ac:dyDescent="0.15">
      <c r="E877" s="52"/>
    </row>
    <row r="878" spans="5:5" ht="13" x14ac:dyDescent="0.15">
      <c r="E878" s="52"/>
    </row>
    <row r="879" spans="5:5" ht="13" x14ac:dyDescent="0.15">
      <c r="E879" s="52"/>
    </row>
    <row r="880" spans="5:5" ht="13" x14ac:dyDescent="0.15">
      <c r="E880" s="52"/>
    </row>
    <row r="881" spans="5:5" ht="13" x14ac:dyDescent="0.15">
      <c r="E881" s="52"/>
    </row>
    <row r="882" spans="5:5" ht="13" x14ac:dyDescent="0.15">
      <c r="E882" s="52"/>
    </row>
    <row r="883" spans="5:5" ht="13" x14ac:dyDescent="0.15">
      <c r="E883" s="52"/>
    </row>
    <row r="884" spans="5:5" ht="13" x14ac:dyDescent="0.15">
      <c r="E884" s="52"/>
    </row>
    <row r="885" spans="5:5" ht="13" x14ac:dyDescent="0.15">
      <c r="E885" s="52"/>
    </row>
    <row r="886" spans="5:5" ht="13" x14ac:dyDescent="0.15">
      <c r="E886" s="52"/>
    </row>
    <row r="887" spans="5:5" ht="13" x14ac:dyDescent="0.15">
      <c r="E887" s="52"/>
    </row>
    <row r="888" spans="5:5" ht="13" x14ac:dyDescent="0.15">
      <c r="E888" s="52"/>
    </row>
    <row r="889" spans="5:5" ht="13" x14ac:dyDescent="0.15">
      <c r="E889" s="52"/>
    </row>
    <row r="890" spans="5:5" ht="13" x14ac:dyDescent="0.15">
      <c r="E890" s="52"/>
    </row>
    <row r="891" spans="5:5" ht="13" x14ac:dyDescent="0.15">
      <c r="E891" s="52"/>
    </row>
    <row r="892" spans="5:5" ht="13" x14ac:dyDescent="0.15">
      <c r="E892" s="52"/>
    </row>
    <row r="893" spans="5:5" ht="13" x14ac:dyDescent="0.15">
      <c r="E893" s="52"/>
    </row>
    <row r="894" spans="5:5" ht="13" x14ac:dyDescent="0.15">
      <c r="E894" s="52"/>
    </row>
    <row r="895" spans="5:5" ht="13" x14ac:dyDescent="0.15">
      <c r="E895" s="52"/>
    </row>
    <row r="896" spans="5:5" ht="13" x14ac:dyDescent="0.15">
      <c r="E896" s="52"/>
    </row>
    <row r="897" spans="5:5" ht="13" x14ac:dyDescent="0.15">
      <c r="E897" s="52"/>
    </row>
    <row r="898" spans="5:5" ht="13" x14ac:dyDescent="0.15">
      <c r="E898" s="52"/>
    </row>
    <row r="899" spans="5:5" ht="13" x14ac:dyDescent="0.15">
      <c r="E899" s="52"/>
    </row>
    <row r="900" spans="5:5" ht="13" x14ac:dyDescent="0.15">
      <c r="E900" s="52"/>
    </row>
    <row r="901" spans="5:5" ht="13" x14ac:dyDescent="0.15">
      <c r="E901" s="52"/>
    </row>
    <row r="902" spans="5:5" ht="13" x14ac:dyDescent="0.15">
      <c r="E902" s="52"/>
    </row>
    <row r="903" spans="5:5" ht="13" x14ac:dyDescent="0.15">
      <c r="E903" s="52"/>
    </row>
    <row r="904" spans="5:5" ht="13" x14ac:dyDescent="0.15">
      <c r="E904" s="52"/>
    </row>
    <row r="905" spans="5:5" ht="13" x14ac:dyDescent="0.15">
      <c r="E905" s="52"/>
    </row>
    <row r="906" spans="5:5" ht="13" x14ac:dyDescent="0.15">
      <c r="E906" s="52"/>
    </row>
    <row r="907" spans="5:5" ht="13" x14ac:dyDescent="0.15">
      <c r="E907" s="52"/>
    </row>
    <row r="908" spans="5:5" ht="13" x14ac:dyDescent="0.15">
      <c r="E908" s="52"/>
    </row>
    <row r="909" spans="5:5" ht="13" x14ac:dyDescent="0.15">
      <c r="E909" s="52"/>
    </row>
    <row r="910" spans="5:5" ht="13" x14ac:dyDescent="0.15">
      <c r="E910" s="52"/>
    </row>
    <row r="911" spans="5:5" ht="13" x14ac:dyDescent="0.15">
      <c r="E911" s="52"/>
    </row>
    <row r="912" spans="5:5" ht="13" x14ac:dyDescent="0.15">
      <c r="E912" s="52"/>
    </row>
    <row r="913" spans="5:5" ht="13" x14ac:dyDescent="0.15">
      <c r="E913" s="52"/>
    </row>
    <row r="914" spans="5:5" ht="13" x14ac:dyDescent="0.15">
      <c r="E914" s="52"/>
    </row>
    <row r="915" spans="5:5" ht="13" x14ac:dyDescent="0.15">
      <c r="E915" s="52"/>
    </row>
    <row r="916" spans="5:5" ht="13" x14ac:dyDescent="0.15">
      <c r="E916" s="52"/>
    </row>
    <row r="917" spans="5:5" ht="13" x14ac:dyDescent="0.15">
      <c r="E917" s="52"/>
    </row>
    <row r="918" spans="5:5" ht="13" x14ac:dyDescent="0.15">
      <c r="E918" s="52"/>
    </row>
    <row r="919" spans="5:5" ht="13" x14ac:dyDescent="0.15">
      <c r="E919" s="52"/>
    </row>
    <row r="920" spans="5:5" ht="13" x14ac:dyDescent="0.15">
      <c r="E920" s="52"/>
    </row>
    <row r="921" spans="5:5" ht="13" x14ac:dyDescent="0.15">
      <c r="E921" s="52"/>
    </row>
    <row r="922" spans="5:5" ht="13" x14ac:dyDescent="0.15">
      <c r="E922" s="52"/>
    </row>
    <row r="923" spans="5:5" ht="13" x14ac:dyDescent="0.15">
      <c r="E923" s="52"/>
    </row>
    <row r="924" spans="5:5" ht="13" x14ac:dyDescent="0.15">
      <c r="E924" s="52"/>
    </row>
    <row r="925" spans="5:5" ht="13" x14ac:dyDescent="0.15">
      <c r="E925" s="52"/>
    </row>
    <row r="926" spans="5:5" ht="13" x14ac:dyDescent="0.15">
      <c r="E926" s="52"/>
    </row>
    <row r="927" spans="5:5" ht="13" x14ac:dyDescent="0.15">
      <c r="E927" s="52"/>
    </row>
    <row r="928" spans="5:5" ht="13" x14ac:dyDescent="0.15">
      <c r="E928" s="52"/>
    </row>
    <row r="929" spans="5:5" ht="13" x14ac:dyDescent="0.15">
      <c r="E929" s="52"/>
    </row>
    <row r="930" spans="5:5" ht="13" x14ac:dyDescent="0.15">
      <c r="E930" s="52"/>
    </row>
    <row r="931" spans="5:5" ht="13" x14ac:dyDescent="0.15">
      <c r="E931" s="52"/>
    </row>
    <row r="932" spans="5:5" ht="13" x14ac:dyDescent="0.15">
      <c r="E932" s="52"/>
    </row>
    <row r="933" spans="5:5" ht="13" x14ac:dyDescent="0.15">
      <c r="E933" s="52"/>
    </row>
    <row r="934" spans="5:5" ht="13" x14ac:dyDescent="0.15">
      <c r="E934" s="52"/>
    </row>
    <row r="935" spans="5:5" ht="13" x14ac:dyDescent="0.15">
      <c r="E935" s="52"/>
    </row>
    <row r="936" spans="5:5" ht="13" x14ac:dyDescent="0.15">
      <c r="E936" s="52"/>
    </row>
    <row r="937" spans="5:5" ht="13" x14ac:dyDescent="0.15">
      <c r="E937" s="52"/>
    </row>
    <row r="938" spans="5:5" ht="13" x14ac:dyDescent="0.15">
      <c r="E938" s="52"/>
    </row>
    <row r="939" spans="5:5" ht="13" x14ac:dyDescent="0.15">
      <c r="E939" s="52"/>
    </row>
    <row r="940" spans="5:5" ht="13" x14ac:dyDescent="0.15">
      <c r="E940" s="52"/>
    </row>
    <row r="941" spans="5:5" ht="13" x14ac:dyDescent="0.15">
      <c r="E941" s="52"/>
    </row>
    <row r="942" spans="5:5" ht="13" x14ac:dyDescent="0.15">
      <c r="E942" s="52"/>
    </row>
    <row r="943" spans="5:5" ht="13" x14ac:dyDescent="0.15">
      <c r="E943" s="52"/>
    </row>
    <row r="944" spans="5:5" ht="13" x14ac:dyDescent="0.15">
      <c r="E944" s="52"/>
    </row>
    <row r="945" spans="5:5" ht="13" x14ac:dyDescent="0.15">
      <c r="E945" s="52"/>
    </row>
    <row r="946" spans="5:5" ht="13" x14ac:dyDescent="0.15">
      <c r="E946" s="52"/>
    </row>
    <row r="947" spans="5:5" ht="13" x14ac:dyDescent="0.15">
      <c r="E947" s="52"/>
    </row>
    <row r="948" spans="5:5" ht="13" x14ac:dyDescent="0.15">
      <c r="E948" s="52"/>
    </row>
    <row r="949" spans="5:5" ht="13" x14ac:dyDescent="0.15">
      <c r="E949" s="52"/>
    </row>
    <row r="950" spans="5:5" ht="13" x14ac:dyDescent="0.15">
      <c r="E950" s="52"/>
    </row>
    <row r="951" spans="5:5" ht="13" x14ac:dyDescent="0.15">
      <c r="E951" s="52"/>
    </row>
    <row r="952" spans="5:5" ht="13" x14ac:dyDescent="0.15">
      <c r="E952" s="52"/>
    </row>
    <row r="953" spans="5:5" ht="13" x14ac:dyDescent="0.15">
      <c r="E953" s="52"/>
    </row>
    <row r="954" spans="5:5" ht="13" x14ac:dyDescent="0.15">
      <c r="E954" s="52"/>
    </row>
    <row r="955" spans="5:5" ht="13" x14ac:dyDescent="0.15">
      <c r="E955" s="52"/>
    </row>
    <row r="956" spans="5:5" ht="13" x14ac:dyDescent="0.15">
      <c r="E956" s="52"/>
    </row>
    <row r="957" spans="5:5" ht="13" x14ac:dyDescent="0.15">
      <c r="E957" s="52"/>
    </row>
    <row r="958" spans="5:5" ht="13" x14ac:dyDescent="0.15">
      <c r="E958" s="52"/>
    </row>
    <row r="959" spans="5:5" ht="13" x14ac:dyDescent="0.15">
      <c r="E959" s="52"/>
    </row>
    <row r="960" spans="5:5" ht="13" x14ac:dyDescent="0.15">
      <c r="E960" s="52"/>
    </row>
    <row r="961" spans="5:5" ht="13" x14ac:dyDescent="0.15">
      <c r="E961" s="52"/>
    </row>
    <row r="962" spans="5:5" ht="13" x14ac:dyDescent="0.15">
      <c r="E962" s="52"/>
    </row>
    <row r="963" spans="5:5" ht="13" x14ac:dyDescent="0.15">
      <c r="E963" s="52"/>
    </row>
    <row r="964" spans="5:5" ht="13" x14ac:dyDescent="0.15">
      <c r="E964" s="52"/>
    </row>
    <row r="965" spans="5:5" ht="13" x14ac:dyDescent="0.15">
      <c r="E965" s="52"/>
    </row>
    <row r="966" spans="5:5" ht="13" x14ac:dyDescent="0.15">
      <c r="E966" s="52"/>
    </row>
    <row r="967" spans="5:5" ht="13" x14ac:dyDescent="0.15">
      <c r="E967" s="52"/>
    </row>
    <row r="968" spans="5:5" ht="13" x14ac:dyDescent="0.15">
      <c r="E968" s="52"/>
    </row>
    <row r="969" spans="5:5" ht="13" x14ac:dyDescent="0.15">
      <c r="E969" s="52"/>
    </row>
    <row r="970" spans="5:5" ht="13" x14ac:dyDescent="0.15">
      <c r="E970" s="52"/>
    </row>
    <row r="971" spans="5:5" ht="13" x14ac:dyDescent="0.15">
      <c r="E971" s="52"/>
    </row>
    <row r="972" spans="5:5" ht="13" x14ac:dyDescent="0.15">
      <c r="E972" s="52"/>
    </row>
    <row r="973" spans="5:5" ht="13" x14ac:dyDescent="0.15">
      <c r="E973" s="52"/>
    </row>
    <row r="974" spans="5:5" ht="13" x14ac:dyDescent="0.15">
      <c r="E974" s="52"/>
    </row>
    <row r="975" spans="5:5" ht="13" x14ac:dyDescent="0.15">
      <c r="E975" s="52"/>
    </row>
    <row r="976" spans="5:5" ht="13" x14ac:dyDescent="0.15">
      <c r="E976" s="52"/>
    </row>
    <row r="977" spans="5:5" ht="13" x14ac:dyDescent="0.15">
      <c r="E977" s="52"/>
    </row>
    <row r="978" spans="5:5" ht="13" x14ac:dyDescent="0.15">
      <c r="E978" s="52"/>
    </row>
    <row r="979" spans="5:5" ht="13" x14ac:dyDescent="0.15">
      <c r="E979" s="52"/>
    </row>
    <row r="980" spans="5:5" ht="13" x14ac:dyDescent="0.15">
      <c r="E980" s="52"/>
    </row>
    <row r="981" spans="5:5" ht="13" x14ac:dyDescent="0.15">
      <c r="E981" s="52"/>
    </row>
    <row r="982" spans="5:5" ht="13" x14ac:dyDescent="0.15">
      <c r="E982" s="52"/>
    </row>
    <row r="983" spans="5:5" ht="13" x14ac:dyDescent="0.15">
      <c r="E983" s="52"/>
    </row>
    <row r="984" spans="5:5" ht="13" x14ac:dyDescent="0.15">
      <c r="E984" s="52"/>
    </row>
    <row r="985" spans="5:5" ht="13" x14ac:dyDescent="0.15">
      <c r="E985" s="52"/>
    </row>
    <row r="986" spans="5:5" ht="13" x14ac:dyDescent="0.15">
      <c r="E986" s="52"/>
    </row>
    <row r="987" spans="5:5" ht="13" x14ac:dyDescent="0.15">
      <c r="E987" s="52"/>
    </row>
    <row r="988" spans="5:5" ht="13" x14ac:dyDescent="0.15">
      <c r="E988" s="52"/>
    </row>
    <row r="989" spans="5:5" ht="13" x14ac:dyDescent="0.15">
      <c r="E989" s="52"/>
    </row>
    <row r="990" spans="5:5" ht="13" x14ac:dyDescent="0.15">
      <c r="E990" s="52"/>
    </row>
    <row r="991" spans="5:5" ht="13" x14ac:dyDescent="0.15">
      <c r="E991" s="52"/>
    </row>
    <row r="992" spans="5:5" ht="13" x14ac:dyDescent="0.15">
      <c r="E992" s="52"/>
    </row>
    <row r="993" spans="5:5" ht="13" x14ac:dyDescent="0.15">
      <c r="E993" s="52"/>
    </row>
    <row r="994" spans="5:5" ht="13" x14ac:dyDescent="0.15">
      <c r="E994" s="52"/>
    </row>
    <row r="995" spans="5:5" ht="13" x14ac:dyDescent="0.15">
      <c r="E995" s="52"/>
    </row>
    <row r="996" spans="5:5" ht="13" x14ac:dyDescent="0.15">
      <c r="E996" s="52"/>
    </row>
    <row r="997" spans="5:5" ht="13" x14ac:dyDescent="0.15">
      <c r="E997" s="52"/>
    </row>
    <row r="998" spans="5:5" ht="13" x14ac:dyDescent="0.15">
      <c r="E998" s="52"/>
    </row>
    <row r="999" spans="5:5" ht="13" x14ac:dyDescent="0.15">
      <c r="E999" s="52"/>
    </row>
    <row r="1000" spans="5:5" ht="13" x14ac:dyDescent="0.15">
      <c r="E1000" s="52"/>
    </row>
    <row r="1001" spans="5:5" ht="13" x14ac:dyDescent="0.15">
      <c r="E1001" s="52"/>
    </row>
    <row r="1002" spans="5:5" ht="13" x14ac:dyDescent="0.15">
      <c r="E1002" s="52"/>
    </row>
    <row r="1003" spans="5:5" ht="13" x14ac:dyDescent="0.15">
      <c r="E1003" s="52"/>
    </row>
    <row r="1004" spans="5:5" ht="13" x14ac:dyDescent="0.15">
      <c r="E1004" s="52"/>
    </row>
    <row r="1005" spans="5:5" ht="13" x14ac:dyDescent="0.15">
      <c r="E1005" s="52"/>
    </row>
    <row r="1006" spans="5:5" ht="13" x14ac:dyDescent="0.15">
      <c r="E1006" s="52"/>
    </row>
    <row r="1007" spans="5:5" ht="13" x14ac:dyDescent="0.15">
      <c r="E1007" s="52"/>
    </row>
    <row r="1008" spans="5:5" ht="13" x14ac:dyDescent="0.15">
      <c r="E1008" s="52"/>
    </row>
    <row r="1009" spans="5:5" ht="13" x14ac:dyDescent="0.15">
      <c r="E1009" s="52"/>
    </row>
    <row r="1010" spans="5:5" ht="13" x14ac:dyDescent="0.15">
      <c r="E1010" s="52"/>
    </row>
    <row r="1011" spans="5:5" ht="13" x14ac:dyDescent="0.15">
      <c r="E1011" s="52"/>
    </row>
    <row r="1012" spans="5:5" ht="13" x14ac:dyDescent="0.15">
      <c r="E1012" s="52"/>
    </row>
    <row r="1013" spans="5:5" ht="13" x14ac:dyDescent="0.15">
      <c r="E1013" s="52"/>
    </row>
    <row r="1014" spans="5:5" ht="13" x14ac:dyDescent="0.15">
      <c r="E1014" s="52"/>
    </row>
    <row r="1015" spans="5:5" ht="13" x14ac:dyDescent="0.15">
      <c r="E1015" s="52"/>
    </row>
    <row r="1016" spans="5:5" ht="13" x14ac:dyDescent="0.15">
      <c r="E1016" s="52"/>
    </row>
    <row r="1017" spans="5:5" ht="13" x14ac:dyDescent="0.15">
      <c r="E1017" s="52"/>
    </row>
    <row r="1018" spans="5:5" ht="13" x14ac:dyDescent="0.15">
      <c r="E1018" s="52"/>
    </row>
    <row r="1019" spans="5:5" ht="13" x14ac:dyDescent="0.15">
      <c r="E1019" s="52"/>
    </row>
  </sheetData>
  <mergeCells count="15">
    <mergeCell ref="B36:B40"/>
    <mergeCell ref="C36:C40"/>
    <mergeCell ref="A3:A40"/>
    <mergeCell ref="B3:B6"/>
    <mergeCell ref="C3:C6"/>
    <mergeCell ref="B8:B11"/>
    <mergeCell ref="C8:C11"/>
    <mergeCell ref="B13:B17"/>
    <mergeCell ref="C13:C17"/>
    <mergeCell ref="B19:B23"/>
    <mergeCell ref="C19:C23"/>
    <mergeCell ref="B25:B29"/>
    <mergeCell ref="C25:C29"/>
    <mergeCell ref="B31:B34"/>
    <mergeCell ref="C31:C3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"/>
  <sheetViews>
    <sheetView workbookViewId="0"/>
  </sheetViews>
  <sheetFormatPr baseColWidth="10" defaultColWidth="12.6640625" defaultRowHeight="15.75" customHeight="1" x14ac:dyDescent="0.15"/>
  <cols>
    <col min="1" max="1" width="17.1640625" customWidth="1"/>
    <col min="2" max="2" width="21.6640625" customWidth="1"/>
    <col min="3" max="3" width="42.1640625" customWidth="1"/>
    <col min="4" max="4" width="68" customWidth="1"/>
    <col min="5" max="5" width="8.5" customWidth="1"/>
  </cols>
  <sheetData>
    <row r="1" spans="1:7" ht="15.75" customHeight="1" x14ac:dyDescent="0.15">
      <c r="A1" s="3" t="s">
        <v>1</v>
      </c>
      <c r="B1" s="5" t="s">
        <v>2</v>
      </c>
      <c r="C1" s="5" t="s">
        <v>3</v>
      </c>
      <c r="D1" s="5" t="s">
        <v>4</v>
      </c>
      <c r="E1" s="7" t="s">
        <v>5</v>
      </c>
    </row>
    <row r="2" spans="1:7" ht="15.75" customHeight="1" x14ac:dyDescent="0.15">
      <c r="A2" s="84" t="s">
        <v>6</v>
      </c>
      <c r="B2" s="84" t="s">
        <v>9</v>
      </c>
      <c r="C2" s="87" t="s">
        <v>10</v>
      </c>
      <c r="D2" s="12" t="s">
        <v>14</v>
      </c>
      <c r="E2" s="14">
        <v>0</v>
      </c>
    </row>
    <row r="3" spans="1:7" ht="15.75" customHeight="1" x14ac:dyDescent="0.15">
      <c r="A3" s="85"/>
      <c r="B3" s="85"/>
      <c r="C3" s="85"/>
      <c r="D3" s="15" t="s">
        <v>18</v>
      </c>
      <c r="E3" s="14">
        <v>1</v>
      </c>
    </row>
    <row r="4" spans="1:7" ht="15.75" customHeight="1" x14ac:dyDescent="0.15">
      <c r="A4" s="85"/>
      <c r="B4" s="85"/>
      <c r="C4" s="85"/>
      <c r="D4" s="15" t="s">
        <v>20</v>
      </c>
      <c r="E4" s="14">
        <v>4.5</v>
      </c>
    </row>
    <row r="5" spans="1:7" ht="15.75" customHeight="1" x14ac:dyDescent="0.15">
      <c r="A5" s="85"/>
      <c r="B5" s="85"/>
      <c r="C5" s="85"/>
      <c r="D5" s="15" t="s">
        <v>22</v>
      </c>
      <c r="E5" s="14">
        <v>5.5</v>
      </c>
    </row>
    <row r="6" spans="1:7" ht="15.75" customHeight="1" x14ac:dyDescent="0.15">
      <c r="A6" s="85"/>
      <c r="B6" s="86"/>
      <c r="C6" s="86"/>
      <c r="D6" s="15" t="s">
        <v>24</v>
      </c>
      <c r="E6" s="14">
        <v>7</v>
      </c>
    </row>
    <row r="7" spans="1:7" ht="15.75" customHeight="1" x14ac:dyDescent="0.15">
      <c r="A7" s="85"/>
      <c r="B7" s="19"/>
      <c r="C7" s="19"/>
      <c r="D7" s="19"/>
      <c r="E7" s="21"/>
    </row>
    <row r="8" spans="1:7" ht="15.75" customHeight="1" x14ac:dyDescent="0.15">
      <c r="A8" s="85"/>
      <c r="B8" s="84" t="s">
        <v>27</v>
      </c>
      <c r="C8" s="87" t="s">
        <v>29</v>
      </c>
      <c r="D8" s="24" t="s">
        <v>14</v>
      </c>
      <c r="E8" s="26">
        <v>0</v>
      </c>
    </row>
    <row r="9" spans="1:7" ht="15.75" customHeight="1" x14ac:dyDescent="0.15">
      <c r="A9" s="85"/>
      <c r="B9" s="85"/>
      <c r="C9" s="85"/>
      <c r="D9" s="15" t="s">
        <v>33</v>
      </c>
      <c r="E9" s="16">
        <v>1</v>
      </c>
      <c r="G9" s="28"/>
    </row>
    <row r="10" spans="1:7" ht="15.75" customHeight="1" x14ac:dyDescent="0.15">
      <c r="A10" s="85"/>
      <c r="B10" s="85"/>
      <c r="C10" s="85"/>
      <c r="D10" s="15" t="s">
        <v>35</v>
      </c>
      <c r="E10" s="16">
        <v>2</v>
      </c>
      <c r="G10" s="28"/>
    </row>
    <row r="11" spans="1:7" ht="15.75" customHeight="1" x14ac:dyDescent="0.15">
      <c r="A11" s="85"/>
      <c r="B11" s="85"/>
      <c r="C11" s="85"/>
      <c r="D11" s="15" t="s">
        <v>36</v>
      </c>
      <c r="E11" s="16">
        <v>5</v>
      </c>
      <c r="G11" s="28"/>
    </row>
    <row r="12" spans="1:7" ht="15.75" customHeight="1" x14ac:dyDescent="0.15">
      <c r="A12" s="86"/>
      <c r="B12" s="86"/>
      <c r="C12" s="86"/>
      <c r="D12" s="15" t="s">
        <v>37</v>
      </c>
      <c r="E12" s="16">
        <v>7</v>
      </c>
      <c r="G12" s="28"/>
    </row>
    <row r="13" spans="1:7" ht="15.75" customHeight="1" x14ac:dyDescent="0.15">
      <c r="A13" s="35"/>
      <c r="B13" s="35"/>
      <c r="C13" s="35"/>
      <c r="D13" s="35"/>
      <c r="E13" s="38"/>
    </row>
    <row r="14" spans="1:7" ht="15.75" customHeight="1" x14ac:dyDescent="0.15">
      <c r="A14" s="35"/>
      <c r="B14" s="40" t="s">
        <v>40</v>
      </c>
      <c r="C14" s="40"/>
      <c r="D14" s="40"/>
      <c r="E14" s="38"/>
    </row>
  </sheetData>
  <mergeCells count="5">
    <mergeCell ref="A2:A12"/>
    <mergeCell ref="B2:B6"/>
    <mergeCell ref="C2:C6"/>
    <mergeCell ref="B8:B12"/>
    <mergeCell ref="C8:C1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E76"/>
  <sheetViews>
    <sheetView workbookViewId="0"/>
  </sheetViews>
  <sheetFormatPr baseColWidth="10" defaultColWidth="12.6640625" defaultRowHeight="15.75" customHeight="1" x14ac:dyDescent="0.15"/>
  <cols>
    <col min="1" max="1" width="17.1640625" customWidth="1"/>
    <col min="2" max="2" width="19.33203125" customWidth="1"/>
    <col min="3" max="3" width="47.33203125" customWidth="1"/>
    <col min="4" max="4" width="67.1640625" customWidth="1"/>
  </cols>
  <sheetData>
    <row r="2" spans="1:5" ht="13" x14ac:dyDescent="0.15">
      <c r="A2" s="3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13" x14ac:dyDescent="0.15">
      <c r="A3" s="84" t="s">
        <v>8</v>
      </c>
      <c r="B3" s="84" t="s">
        <v>11</v>
      </c>
      <c r="C3" s="87" t="s">
        <v>13</v>
      </c>
      <c r="D3" s="11" t="s">
        <v>14</v>
      </c>
      <c r="E3" s="13">
        <v>0</v>
      </c>
    </row>
    <row r="4" spans="1:5" ht="13" x14ac:dyDescent="0.15">
      <c r="A4" s="85"/>
      <c r="B4" s="85"/>
      <c r="C4" s="85"/>
      <c r="D4" s="11" t="s">
        <v>17</v>
      </c>
      <c r="E4" s="16">
        <v>1.5</v>
      </c>
    </row>
    <row r="5" spans="1:5" ht="13" x14ac:dyDescent="0.15">
      <c r="A5" s="85"/>
      <c r="B5" s="85"/>
      <c r="C5" s="85"/>
      <c r="D5" s="11" t="s">
        <v>19</v>
      </c>
      <c r="E5" s="16">
        <v>3.5</v>
      </c>
    </row>
    <row r="6" spans="1:5" ht="13" x14ac:dyDescent="0.15">
      <c r="A6" s="85"/>
      <c r="B6" s="85"/>
      <c r="C6" s="85"/>
      <c r="D6" s="11" t="s">
        <v>21</v>
      </c>
      <c r="E6" s="16">
        <v>5.5</v>
      </c>
    </row>
    <row r="7" spans="1:5" ht="13" x14ac:dyDescent="0.15">
      <c r="A7" s="85"/>
      <c r="B7" s="86"/>
      <c r="C7" s="86"/>
      <c r="D7" s="19" t="s">
        <v>23</v>
      </c>
      <c r="E7" s="16">
        <v>7</v>
      </c>
    </row>
    <row r="8" spans="1:5" ht="9" customHeight="1" x14ac:dyDescent="0.15">
      <c r="A8" s="85"/>
      <c r="B8" s="20"/>
      <c r="C8" s="20"/>
      <c r="D8" s="20"/>
      <c r="E8" s="22"/>
    </row>
    <row r="9" spans="1:5" ht="13" x14ac:dyDescent="0.15">
      <c r="A9" s="85"/>
      <c r="B9" s="84" t="s">
        <v>28</v>
      </c>
      <c r="C9" s="87" t="s">
        <v>31</v>
      </c>
      <c r="D9" s="11" t="s">
        <v>14</v>
      </c>
      <c r="E9" s="13">
        <v>0</v>
      </c>
    </row>
    <row r="10" spans="1:5" ht="13" x14ac:dyDescent="0.15">
      <c r="A10" s="85"/>
      <c r="B10" s="85"/>
      <c r="C10" s="85"/>
      <c r="D10" s="15" t="s">
        <v>32</v>
      </c>
      <c r="E10" s="16">
        <v>1</v>
      </c>
    </row>
    <row r="11" spans="1:5" ht="13" x14ac:dyDescent="0.15">
      <c r="A11" s="85"/>
      <c r="B11" s="85"/>
      <c r="C11" s="85"/>
      <c r="D11" s="15" t="s">
        <v>34</v>
      </c>
      <c r="E11" s="16">
        <v>2.5</v>
      </c>
    </row>
    <row r="12" spans="1:5" ht="13" x14ac:dyDescent="0.15">
      <c r="A12" s="85"/>
      <c r="B12" s="85"/>
      <c r="C12" s="85"/>
      <c r="D12" s="15" t="s">
        <v>39</v>
      </c>
      <c r="E12" s="16">
        <v>4.5</v>
      </c>
    </row>
    <row r="13" spans="1:5" ht="13" x14ac:dyDescent="0.15">
      <c r="A13" s="85"/>
      <c r="B13" s="86"/>
      <c r="C13" s="86"/>
      <c r="D13" s="15" t="s">
        <v>41</v>
      </c>
      <c r="E13" s="16">
        <v>6.5</v>
      </c>
    </row>
    <row r="14" spans="1:5" ht="6.75" customHeight="1" x14ac:dyDescent="0.15">
      <c r="A14" s="85"/>
      <c r="B14" s="20"/>
      <c r="C14" s="20"/>
      <c r="D14" s="20"/>
      <c r="E14" s="22"/>
    </row>
    <row r="15" spans="1:5" ht="13" x14ac:dyDescent="0.15">
      <c r="A15" s="85"/>
      <c r="B15" s="84" t="s">
        <v>44</v>
      </c>
      <c r="C15" s="87" t="s">
        <v>45</v>
      </c>
      <c r="D15" s="11" t="s">
        <v>14</v>
      </c>
      <c r="E15" s="13">
        <v>0</v>
      </c>
    </row>
    <row r="16" spans="1:5" ht="13" x14ac:dyDescent="0.15">
      <c r="A16" s="85"/>
      <c r="B16" s="85"/>
      <c r="C16" s="85"/>
      <c r="D16" s="15" t="s">
        <v>47</v>
      </c>
      <c r="E16" s="16">
        <v>1.5</v>
      </c>
    </row>
    <row r="17" spans="1:5" ht="13" x14ac:dyDescent="0.15">
      <c r="A17" s="85"/>
      <c r="B17" s="85"/>
      <c r="C17" s="85"/>
      <c r="D17" s="15" t="s">
        <v>48</v>
      </c>
      <c r="E17" s="16">
        <v>4.5</v>
      </c>
    </row>
    <row r="18" spans="1:5" ht="13" x14ac:dyDescent="0.15">
      <c r="A18" s="85"/>
      <c r="B18" s="86"/>
      <c r="C18" s="86"/>
      <c r="D18" s="15" t="s">
        <v>49</v>
      </c>
      <c r="E18" s="16">
        <v>7</v>
      </c>
    </row>
    <row r="19" spans="1:5" ht="6.75" customHeight="1" x14ac:dyDescent="0.15">
      <c r="A19" s="85"/>
      <c r="B19" s="20"/>
      <c r="C19" s="20"/>
      <c r="D19" s="20"/>
      <c r="E19" s="22"/>
    </row>
    <row r="20" spans="1:5" ht="13" x14ac:dyDescent="0.15">
      <c r="A20" s="85"/>
      <c r="B20" s="84" t="s">
        <v>51</v>
      </c>
      <c r="C20" s="87" t="s">
        <v>52</v>
      </c>
      <c r="D20" s="11" t="s">
        <v>14</v>
      </c>
      <c r="E20" s="13">
        <v>0</v>
      </c>
    </row>
    <row r="21" spans="1:5" ht="13" x14ac:dyDescent="0.15">
      <c r="A21" s="85"/>
      <c r="B21" s="85"/>
      <c r="C21" s="85"/>
      <c r="D21" s="15" t="s">
        <v>54</v>
      </c>
      <c r="E21" s="16">
        <v>1.5</v>
      </c>
    </row>
    <row r="22" spans="1:5" ht="13" x14ac:dyDescent="0.15">
      <c r="A22" s="85"/>
      <c r="B22" s="85"/>
      <c r="C22" s="85"/>
      <c r="D22" s="15" t="s">
        <v>56</v>
      </c>
      <c r="E22" s="16">
        <v>4.5</v>
      </c>
    </row>
    <row r="23" spans="1:5" ht="13" x14ac:dyDescent="0.15">
      <c r="A23" s="85"/>
      <c r="B23" s="86"/>
      <c r="C23" s="86"/>
      <c r="D23" s="15" t="s">
        <v>58</v>
      </c>
      <c r="E23" s="16">
        <v>7</v>
      </c>
    </row>
    <row r="24" spans="1:5" ht="9" customHeight="1" x14ac:dyDescent="0.15">
      <c r="A24" s="85"/>
      <c r="B24" s="20"/>
      <c r="C24" s="20"/>
      <c r="D24" s="20"/>
      <c r="E24" s="22"/>
    </row>
    <row r="25" spans="1:5" ht="13" x14ac:dyDescent="0.15">
      <c r="A25" s="85"/>
      <c r="B25" s="84" t="s">
        <v>59</v>
      </c>
      <c r="C25" s="87" t="s">
        <v>62</v>
      </c>
      <c r="D25" s="11" t="s">
        <v>14</v>
      </c>
      <c r="E25" s="13">
        <v>0</v>
      </c>
    </row>
    <row r="26" spans="1:5" ht="13" x14ac:dyDescent="0.15">
      <c r="A26" s="85"/>
      <c r="B26" s="85"/>
      <c r="C26" s="85"/>
      <c r="D26" s="15" t="s">
        <v>64</v>
      </c>
      <c r="E26" s="16">
        <v>4</v>
      </c>
    </row>
    <row r="27" spans="1:5" ht="13" x14ac:dyDescent="0.15">
      <c r="A27" s="85"/>
      <c r="B27" s="86"/>
      <c r="C27" s="86"/>
      <c r="D27" s="15" t="s">
        <v>65</v>
      </c>
      <c r="E27" s="16">
        <v>7</v>
      </c>
    </row>
    <row r="28" spans="1:5" ht="9.75" customHeight="1" x14ac:dyDescent="0.15">
      <c r="A28" s="85"/>
      <c r="B28" s="20"/>
      <c r="C28" s="20"/>
      <c r="D28" s="20"/>
      <c r="E28" s="22"/>
    </row>
    <row r="29" spans="1:5" ht="13" x14ac:dyDescent="0.15">
      <c r="A29" s="85"/>
      <c r="B29" s="84" t="s">
        <v>67</v>
      </c>
      <c r="C29" s="87" t="s">
        <v>69</v>
      </c>
      <c r="D29" s="11" t="s">
        <v>14</v>
      </c>
      <c r="E29" s="13">
        <v>0</v>
      </c>
    </row>
    <row r="30" spans="1:5" ht="13" x14ac:dyDescent="0.15">
      <c r="A30" s="85"/>
      <c r="B30" s="85"/>
      <c r="C30" s="85"/>
      <c r="D30" s="15" t="s">
        <v>70</v>
      </c>
      <c r="E30" s="16">
        <v>3</v>
      </c>
    </row>
    <row r="31" spans="1:5" ht="13" x14ac:dyDescent="0.15">
      <c r="A31" s="85"/>
      <c r="B31" s="86"/>
      <c r="C31" s="86"/>
      <c r="D31" s="15" t="s">
        <v>72</v>
      </c>
      <c r="E31" s="16">
        <v>6.5</v>
      </c>
    </row>
    <row r="32" spans="1:5" ht="9" customHeight="1" x14ac:dyDescent="0.15">
      <c r="A32" s="85"/>
      <c r="B32" s="20"/>
      <c r="C32" s="20"/>
      <c r="D32" s="20"/>
      <c r="E32" s="22"/>
    </row>
    <row r="33" spans="1:5" ht="13" x14ac:dyDescent="0.15">
      <c r="A33" s="85"/>
      <c r="B33" s="84" t="s">
        <v>74</v>
      </c>
      <c r="C33" s="87" t="s">
        <v>75</v>
      </c>
      <c r="D33" s="11" t="s">
        <v>14</v>
      </c>
      <c r="E33" s="13">
        <v>0</v>
      </c>
    </row>
    <row r="34" spans="1:5" ht="13" x14ac:dyDescent="0.15">
      <c r="A34" s="85"/>
      <c r="B34" s="85"/>
      <c r="C34" s="85"/>
      <c r="D34" s="15" t="s">
        <v>76</v>
      </c>
      <c r="E34" s="16">
        <v>3</v>
      </c>
    </row>
    <row r="35" spans="1:5" ht="13" x14ac:dyDescent="0.15">
      <c r="A35" s="85"/>
      <c r="B35" s="86"/>
      <c r="C35" s="86"/>
      <c r="D35" s="15" t="s">
        <v>79</v>
      </c>
      <c r="E35" s="16">
        <v>6.5</v>
      </c>
    </row>
    <row r="36" spans="1:5" ht="9.75" customHeight="1" x14ac:dyDescent="0.15">
      <c r="A36" s="85"/>
      <c r="B36" s="20"/>
      <c r="C36" s="20"/>
      <c r="D36" s="20"/>
      <c r="E36" s="22"/>
    </row>
    <row r="37" spans="1:5" ht="13" x14ac:dyDescent="0.15">
      <c r="A37" s="85"/>
      <c r="B37" s="84" t="s">
        <v>81</v>
      </c>
      <c r="C37" s="87" t="s">
        <v>83</v>
      </c>
      <c r="D37" s="11" t="s">
        <v>14</v>
      </c>
      <c r="E37" s="13">
        <v>0</v>
      </c>
    </row>
    <row r="38" spans="1:5" ht="13" x14ac:dyDescent="0.15">
      <c r="A38" s="85"/>
      <c r="B38" s="85"/>
      <c r="C38" s="85"/>
      <c r="D38" s="15" t="s">
        <v>85</v>
      </c>
      <c r="E38" s="16">
        <v>1</v>
      </c>
    </row>
    <row r="39" spans="1:5" ht="13" x14ac:dyDescent="0.15">
      <c r="A39" s="85"/>
      <c r="B39" s="85"/>
      <c r="C39" s="85"/>
      <c r="D39" s="15" t="s">
        <v>86</v>
      </c>
      <c r="E39" s="16">
        <v>4</v>
      </c>
    </row>
    <row r="40" spans="1:5" ht="13" x14ac:dyDescent="0.15">
      <c r="A40" s="85"/>
      <c r="B40" s="86"/>
      <c r="C40" s="86"/>
      <c r="D40" s="15" t="s">
        <v>87</v>
      </c>
      <c r="E40" s="16">
        <v>7</v>
      </c>
    </row>
    <row r="41" spans="1:5" ht="8.25" customHeight="1" x14ac:dyDescent="0.15">
      <c r="A41" s="85"/>
      <c r="B41" s="20"/>
      <c r="C41" s="20"/>
      <c r="D41" s="20"/>
      <c r="E41" s="22"/>
    </row>
    <row r="42" spans="1:5" ht="13" x14ac:dyDescent="0.15">
      <c r="A42" s="85"/>
      <c r="B42" s="84" t="s">
        <v>89</v>
      </c>
      <c r="C42" s="87" t="s">
        <v>91</v>
      </c>
      <c r="D42" s="11" t="s">
        <v>14</v>
      </c>
      <c r="E42" s="13">
        <v>0</v>
      </c>
    </row>
    <row r="43" spans="1:5" ht="13" x14ac:dyDescent="0.15">
      <c r="A43" s="85"/>
      <c r="B43" s="85"/>
      <c r="C43" s="85"/>
      <c r="D43" s="11" t="s">
        <v>92</v>
      </c>
      <c r="E43" s="13" t="s">
        <v>93</v>
      </c>
    </row>
    <row r="44" spans="1:5" ht="13" x14ac:dyDescent="0.15">
      <c r="A44" s="85"/>
      <c r="B44" s="85"/>
      <c r="C44" s="85"/>
      <c r="D44" s="11" t="s">
        <v>96</v>
      </c>
      <c r="E44" s="13">
        <v>6</v>
      </c>
    </row>
    <row r="45" spans="1:5" ht="13" x14ac:dyDescent="0.15">
      <c r="A45" s="85"/>
      <c r="B45" s="86"/>
      <c r="C45" s="86"/>
      <c r="D45" s="11" t="s">
        <v>98</v>
      </c>
      <c r="E45" s="13">
        <v>7</v>
      </c>
    </row>
    <row r="46" spans="1:5" ht="8.25" customHeight="1" x14ac:dyDescent="0.15">
      <c r="A46" s="85"/>
      <c r="B46" s="20"/>
      <c r="C46" s="20"/>
      <c r="D46" s="20"/>
      <c r="E46" s="22"/>
    </row>
    <row r="47" spans="1:5" ht="13" x14ac:dyDescent="0.15">
      <c r="A47" s="85"/>
      <c r="B47" s="84" t="s">
        <v>99</v>
      </c>
      <c r="C47" s="87" t="s">
        <v>101</v>
      </c>
      <c r="D47" s="11" t="s">
        <v>14</v>
      </c>
      <c r="E47" s="13">
        <v>0</v>
      </c>
    </row>
    <row r="48" spans="1:5" ht="13" x14ac:dyDescent="0.15">
      <c r="A48" s="85"/>
      <c r="B48" s="85"/>
      <c r="C48" s="85"/>
      <c r="D48" s="15" t="s">
        <v>103</v>
      </c>
      <c r="E48" s="16">
        <v>1</v>
      </c>
    </row>
    <row r="49" spans="1:5" ht="13" x14ac:dyDescent="0.15">
      <c r="A49" s="85"/>
      <c r="B49" s="85"/>
      <c r="C49" s="85"/>
      <c r="D49" s="15" t="s">
        <v>104</v>
      </c>
      <c r="E49" s="16">
        <v>2</v>
      </c>
    </row>
    <row r="50" spans="1:5" ht="13" x14ac:dyDescent="0.15">
      <c r="A50" s="85"/>
      <c r="B50" s="85"/>
      <c r="C50" s="85"/>
      <c r="D50" s="15" t="s">
        <v>106</v>
      </c>
      <c r="E50" s="16">
        <v>3</v>
      </c>
    </row>
    <row r="51" spans="1:5" ht="13" x14ac:dyDescent="0.15">
      <c r="A51" s="85"/>
      <c r="B51" s="85"/>
      <c r="C51" s="85"/>
      <c r="D51" s="15" t="s">
        <v>108</v>
      </c>
      <c r="E51" s="16">
        <v>4</v>
      </c>
    </row>
    <row r="52" spans="1:5" ht="13" x14ac:dyDescent="0.15">
      <c r="A52" s="85"/>
      <c r="B52" s="85"/>
      <c r="C52" s="85"/>
      <c r="D52" s="15" t="s">
        <v>110</v>
      </c>
      <c r="E52" s="16">
        <v>5</v>
      </c>
    </row>
    <row r="53" spans="1:5" ht="13" x14ac:dyDescent="0.15">
      <c r="A53" s="85"/>
      <c r="B53" s="85"/>
      <c r="C53" s="85"/>
      <c r="D53" s="15" t="s">
        <v>112</v>
      </c>
      <c r="E53" s="16">
        <v>6</v>
      </c>
    </row>
    <row r="54" spans="1:5" ht="13" x14ac:dyDescent="0.15">
      <c r="A54" s="85"/>
      <c r="B54" s="86"/>
      <c r="C54" s="86"/>
      <c r="D54" s="15" t="s">
        <v>113</v>
      </c>
      <c r="E54" s="16">
        <v>7</v>
      </c>
    </row>
    <row r="55" spans="1:5" ht="8.25" customHeight="1" x14ac:dyDescent="0.15">
      <c r="A55" s="85"/>
      <c r="B55" s="20"/>
      <c r="C55" s="20"/>
      <c r="D55" s="20"/>
      <c r="E55" s="22"/>
    </row>
    <row r="56" spans="1:5" ht="13" x14ac:dyDescent="0.15">
      <c r="A56" s="85"/>
      <c r="B56" s="84" t="s">
        <v>115</v>
      </c>
      <c r="C56" s="87" t="s">
        <v>117</v>
      </c>
      <c r="D56" s="11" t="s">
        <v>14</v>
      </c>
      <c r="E56" s="13">
        <v>0</v>
      </c>
    </row>
    <row r="57" spans="1:5" ht="13" x14ac:dyDescent="0.15">
      <c r="A57" s="85"/>
      <c r="B57" s="85"/>
      <c r="C57" s="85"/>
      <c r="D57" s="15" t="s">
        <v>118</v>
      </c>
      <c r="E57" s="16">
        <v>2.5</v>
      </c>
    </row>
    <row r="58" spans="1:5" ht="13" x14ac:dyDescent="0.15">
      <c r="A58" s="85"/>
      <c r="B58" s="85"/>
      <c r="C58" s="85"/>
      <c r="D58" s="15" t="s">
        <v>120</v>
      </c>
      <c r="E58" s="16">
        <v>5.5</v>
      </c>
    </row>
    <row r="59" spans="1:5" ht="13" x14ac:dyDescent="0.15">
      <c r="A59" s="85"/>
      <c r="B59" s="86"/>
      <c r="C59" s="86"/>
      <c r="D59" s="15" t="s">
        <v>122</v>
      </c>
      <c r="E59" s="16">
        <v>7</v>
      </c>
    </row>
    <row r="60" spans="1:5" ht="9" customHeight="1" x14ac:dyDescent="0.15">
      <c r="A60" s="85"/>
      <c r="B60" s="20"/>
      <c r="C60" s="20"/>
      <c r="D60" s="20"/>
      <c r="E60" s="22"/>
    </row>
    <row r="61" spans="1:5" ht="13" x14ac:dyDescent="0.15">
      <c r="A61" s="85"/>
      <c r="B61" s="84" t="s">
        <v>123</v>
      </c>
      <c r="C61" s="87" t="s">
        <v>124</v>
      </c>
      <c r="D61" s="19" t="s">
        <v>14</v>
      </c>
      <c r="E61" s="26">
        <v>0</v>
      </c>
    </row>
    <row r="62" spans="1:5" ht="13" x14ac:dyDescent="0.15">
      <c r="A62" s="85"/>
      <c r="B62" s="85"/>
      <c r="C62" s="85"/>
      <c r="D62" s="15" t="s">
        <v>128</v>
      </c>
      <c r="E62" s="16">
        <v>2.5</v>
      </c>
    </row>
    <row r="63" spans="1:5" ht="13" x14ac:dyDescent="0.15">
      <c r="A63" s="85"/>
      <c r="B63" s="85"/>
      <c r="C63" s="85"/>
      <c r="D63" s="15" t="s">
        <v>130</v>
      </c>
      <c r="E63" s="16">
        <v>5</v>
      </c>
    </row>
    <row r="64" spans="1:5" ht="13" x14ac:dyDescent="0.15">
      <c r="A64" s="85"/>
      <c r="B64" s="85"/>
      <c r="C64" s="85"/>
      <c r="D64" s="15" t="s">
        <v>131</v>
      </c>
      <c r="E64" s="16">
        <v>6</v>
      </c>
    </row>
    <row r="65" spans="1:5" ht="13" x14ac:dyDescent="0.15">
      <c r="A65" s="85"/>
      <c r="B65" s="86"/>
      <c r="C65" s="86"/>
      <c r="D65" s="15" t="s">
        <v>132</v>
      </c>
      <c r="E65" s="16">
        <v>7</v>
      </c>
    </row>
    <row r="66" spans="1:5" ht="8.25" customHeight="1" x14ac:dyDescent="0.15">
      <c r="A66" s="85"/>
      <c r="B66" s="20"/>
      <c r="C66" s="20"/>
      <c r="D66" s="20"/>
      <c r="E66" s="22"/>
    </row>
    <row r="67" spans="1:5" ht="13" x14ac:dyDescent="0.15">
      <c r="A67" s="85"/>
      <c r="B67" s="84" t="s">
        <v>133</v>
      </c>
      <c r="C67" s="87" t="s">
        <v>134</v>
      </c>
      <c r="D67" s="19" t="s">
        <v>14</v>
      </c>
      <c r="E67" s="26">
        <v>0</v>
      </c>
    </row>
    <row r="68" spans="1:5" ht="13" x14ac:dyDescent="0.15">
      <c r="A68" s="85"/>
      <c r="B68" s="85"/>
      <c r="C68" s="85"/>
      <c r="D68" s="15" t="s">
        <v>135</v>
      </c>
      <c r="E68" s="16">
        <v>1</v>
      </c>
    </row>
    <row r="69" spans="1:5" ht="13" x14ac:dyDescent="0.15">
      <c r="A69" s="85"/>
      <c r="B69" s="85"/>
      <c r="C69" s="85"/>
      <c r="D69" s="15" t="s">
        <v>136</v>
      </c>
      <c r="E69" s="16">
        <v>4.5</v>
      </c>
    </row>
    <row r="70" spans="1:5" ht="13" x14ac:dyDescent="0.15">
      <c r="A70" s="85"/>
      <c r="B70" s="86"/>
      <c r="C70" s="86"/>
      <c r="D70" s="15" t="s">
        <v>137</v>
      </c>
      <c r="E70" s="16">
        <v>6.5</v>
      </c>
    </row>
    <row r="71" spans="1:5" ht="7.5" customHeight="1" x14ac:dyDescent="0.15">
      <c r="A71" s="85"/>
      <c r="B71" s="20"/>
      <c r="C71" s="20"/>
      <c r="D71" s="20"/>
      <c r="E71" s="22"/>
    </row>
    <row r="72" spans="1:5" ht="13" x14ac:dyDescent="0.15">
      <c r="A72" s="85"/>
      <c r="B72" s="84" t="s">
        <v>138</v>
      </c>
      <c r="C72" s="87" t="s">
        <v>139</v>
      </c>
      <c r="D72" s="19" t="s">
        <v>14</v>
      </c>
      <c r="E72" s="26">
        <v>0</v>
      </c>
    </row>
    <row r="73" spans="1:5" ht="13" x14ac:dyDescent="0.15">
      <c r="A73" s="85"/>
      <c r="B73" s="85"/>
      <c r="C73" s="85"/>
      <c r="D73" s="15" t="s">
        <v>140</v>
      </c>
      <c r="E73" s="16">
        <v>3</v>
      </c>
    </row>
    <row r="74" spans="1:5" ht="13" x14ac:dyDescent="0.15">
      <c r="A74" s="86"/>
      <c r="B74" s="86"/>
      <c r="C74" s="86"/>
      <c r="D74" s="15" t="s">
        <v>141</v>
      </c>
      <c r="E74" s="16">
        <v>6.5</v>
      </c>
    </row>
    <row r="75" spans="1:5" ht="13" x14ac:dyDescent="0.15">
      <c r="A75" s="35"/>
      <c r="B75" s="35"/>
      <c r="C75" s="35"/>
      <c r="D75" s="35"/>
      <c r="E75" s="35"/>
    </row>
    <row r="76" spans="1:5" ht="13" x14ac:dyDescent="0.15">
      <c r="A76" s="35"/>
      <c r="B76" s="40" t="s">
        <v>40</v>
      </c>
      <c r="C76" s="40"/>
      <c r="D76" s="40"/>
      <c r="E76" s="35"/>
    </row>
  </sheetData>
  <mergeCells count="29">
    <mergeCell ref="C33:C35"/>
    <mergeCell ref="B37:B40"/>
    <mergeCell ref="C37:C40"/>
    <mergeCell ref="B42:B45"/>
    <mergeCell ref="C42:C45"/>
    <mergeCell ref="B72:B74"/>
    <mergeCell ref="C72:C74"/>
    <mergeCell ref="A3:A74"/>
    <mergeCell ref="B3:B7"/>
    <mergeCell ref="C3:C7"/>
    <mergeCell ref="B9:B13"/>
    <mergeCell ref="C9:C13"/>
    <mergeCell ref="B15:B18"/>
    <mergeCell ref="C15:C18"/>
    <mergeCell ref="B20:B23"/>
    <mergeCell ref="C20:C23"/>
    <mergeCell ref="B25:B27"/>
    <mergeCell ref="C25:C27"/>
    <mergeCell ref="B29:B31"/>
    <mergeCell ref="C29:C31"/>
    <mergeCell ref="B33:B35"/>
    <mergeCell ref="B47:B54"/>
    <mergeCell ref="C47:C54"/>
    <mergeCell ref="B61:B65"/>
    <mergeCell ref="C61:C65"/>
    <mergeCell ref="B67:B70"/>
    <mergeCell ref="C67:C70"/>
    <mergeCell ref="B56:B59"/>
    <mergeCell ref="C56:C5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8" width="18.83203125" customWidth="1"/>
  </cols>
  <sheetData>
    <row r="1" spans="1:2" ht="15.75" customHeight="1" x14ac:dyDescent="0.15">
      <c r="A1" s="45" t="s">
        <v>144</v>
      </c>
      <c r="B1" s="45" t="s">
        <v>145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PFS</vt:lpstr>
      <vt:lpstr>Engagemmmment</vt:lpstr>
      <vt:lpstr>Interactive</vt:lpstr>
      <vt:lpstr>Sensorial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2026-08-25T13:33:23Z</dcterms:created>
  <dcterms:modified xsi:type="dcterms:W3CDTF">2026-08-25T13:33:23Z</dcterms:modified>
</cp:coreProperties>
</file>